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5480" windowHeight="7350" tabRatio="604" activeTab="4"/>
  </bookViews>
  <sheets>
    <sheet name="measurement" sheetId="1" r:id="rId1"/>
    <sheet name="calculations" sheetId="2" r:id="rId2"/>
    <sheet name="constants" sheetId="3" r:id="rId3"/>
    <sheet name="overview" sheetId="4" r:id="rId4"/>
    <sheet name="Summary" sheetId="5" r:id="rId5"/>
  </sheets>
  <functionGroups builtInGroupCount="17"/>
  <definedNames>
    <definedName name="_xlnm.Print_Area" localSheetId="1">calculations!$A$1:$K$61</definedName>
    <definedName name="_xlnm.Print_Area" localSheetId="2">constants!$A$1:$J$60</definedName>
    <definedName name="_xlnm.Print_Area" localSheetId="0">measurement!$A$1:$K$65</definedName>
    <definedName name="_xlnm.Print_Area" localSheetId="3">overview!$A$1:$S$26</definedName>
  </definedNames>
  <calcPr calcId="145621" iterate="1"/>
</workbook>
</file>

<file path=xl/calcChain.xml><?xml version="1.0" encoding="utf-8"?>
<calcChain xmlns="http://schemas.openxmlformats.org/spreadsheetml/2006/main">
  <c r="C24" i="1" l="1"/>
  <c r="F43" i="1" l="1"/>
  <c r="C22" i="1" l="1"/>
  <c r="C41" i="1" l="1"/>
  <c r="C43" i="1" s="1"/>
  <c r="F37" i="1"/>
  <c r="G37" i="1"/>
  <c r="H37" i="1"/>
  <c r="D44" i="1"/>
  <c r="D45" i="1" s="1"/>
  <c r="K45" i="1" s="1"/>
  <c r="C20" i="2" s="1"/>
  <c r="D42" i="1"/>
  <c r="D40" i="1"/>
  <c r="K40" i="1" s="1"/>
  <c r="C16" i="2" s="1"/>
  <c r="D38" i="1"/>
  <c r="K38" i="1" s="1"/>
  <c r="C26" i="1"/>
  <c r="J26" i="1" s="1"/>
  <c r="J24" i="1"/>
  <c r="J22" i="1"/>
  <c r="C20" i="1"/>
  <c r="J20" i="1" s="1"/>
  <c r="H7" i="5"/>
  <c r="B6" i="5"/>
  <c r="G6" i="5"/>
  <c r="H4" i="5"/>
  <c r="G4" i="5"/>
  <c r="E2" i="5"/>
  <c r="H45" i="1"/>
  <c r="H20" i="2" s="1"/>
  <c r="B26" i="2"/>
  <c r="H44" i="1"/>
  <c r="H19" i="2" s="1"/>
  <c r="H43" i="1"/>
  <c r="H42" i="1"/>
  <c r="G45" i="1"/>
  <c r="G20" i="2" s="1"/>
  <c r="B25" i="2"/>
  <c r="G44" i="1"/>
  <c r="G19" i="2" s="1"/>
  <c r="G43" i="1"/>
  <c r="G42" i="1"/>
  <c r="F45" i="1"/>
  <c r="F20" i="2" s="1"/>
  <c r="B24" i="2"/>
  <c r="F44" i="1"/>
  <c r="F19" i="2" s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A58" i="1"/>
  <c r="A57" i="1"/>
  <c r="A56" i="1"/>
  <c r="A55" i="1"/>
  <c r="A54" i="1"/>
  <c r="A53" i="1"/>
  <c r="A52" i="1"/>
  <c r="A51" i="1"/>
  <c r="A50" i="1"/>
  <c r="D12" i="3"/>
  <c r="C28" i="2"/>
  <c r="D59" i="1"/>
  <c r="D60" i="1" s="1"/>
  <c r="D60" i="2"/>
  <c r="C60" i="2"/>
  <c r="B60" i="2"/>
  <c r="D8" i="1"/>
  <c r="B22" i="5" s="1"/>
  <c r="M24" i="4"/>
  <c r="L24" i="4"/>
  <c r="K24" i="4"/>
  <c r="K28" i="2"/>
  <c r="I24" i="2"/>
  <c r="K33" i="2" s="1"/>
  <c r="M18" i="4"/>
  <c r="L18" i="4"/>
  <c r="K18" i="4"/>
  <c r="A5" i="4"/>
  <c r="G24" i="2"/>
  <c r="G25" i="2" s="1"/>
  <c r="D26" i="2"/>
  <c r="K9" i="2"/>
  <c r="D25" i="2"/>
  <c r="J9" i="2"/>
  <c r="D24" i="2"/>
  <c r="I9" i="2"/>
  <c r="X18" i="4"/>
  <c r="W18" i="4"/>
  <c r="K26" i="2"/>
  <c r="K27" i="2"/>
  <c r="H39" i="2"/>
  <c r="K24" i="2"/>
  <c r="K25" i="2"/>
  <c r="E40" i="2"/>
  <c r="G3" i="2"/>
  <c r="H13" i="1"/>
  <c r="V18" i="4"/>
  <c r="I13" i="1"/>
  <c r="J13" i="1"/>
  <c r="K13" i="1"/>
  <c r="H31" i="1"/>
  <c r="I31" i="1"/>
  <c r="J31" i="1"/>
  <c r="K31" i="1"/>
  <c r="K3" i="2"/>
  <c r="I23" i="2"/>
  <c r="G23" i="2"/>
  <c r="D61" i="2"/>
  <c r="C61" i="2"/>
  <c r="B61" i="2"/>
  <c r="J61" i="2"/>
  <c r="I3" i="2"/>
  <c r="H3" i="2"/>
  <c r="K19" i="1"/>
  <c r="K21" i="1"/>
  <c r="K23" i="1"/>
  <c r="K25" i="1"/>
  <c r="J19" i="1"/>
  <c r="J21" i="1"/>
  <c r="J23" i="1"/>
  <c r="J25" i="1"/>
  <c r="B12" i="2" s="1"/>
  <c r="K37" i="1"/>
  <c r="K43" i="1"/>
  <c r="K41" i="1"/>
  <c r="K42" i="1"/>
  <c r="K39" i="1"/>
  <c r="J37" i="1"/>
  <c r="B15" i="2" s="1"/>
  <c r="C39" i="1"/>
  <c r="J39" i="1" s="1"/>
  <c r="B16" i="2" s="1"/>
  <c r="B59" i="1"/>
  <c r="A30" i="3"/>
  <c r="K26" i="1"/>
  <c r="K24" i="1"/>
  <c r="K22" i="1"/>
  <c r="K20" i="1"/>
  <c r="D12" i="1"/>
  <c r="C12" i="1"/>
  <c r="B12" i="1"/>
  <c r="A12" i="1"/>
  <c r="D30" i="1"/>
  <c r="C30" i="1"/>
  <c r="B30" i="1"/>
  <c r="A30" i="1"/>
  <c r="D36" i="1"/>
  <c r="C36" i="1"/>
  <c r="H51" i="1"/>
  <c r="H50" i="1"/>
  <c r="D18" i="1"/>
  <c r="C18" i="1"/>
  <c r="E5" i="4"/>
  <c r="P26" i="4"/>
  <c r="G5" i="4"/>
  <c r="Y18" i="4"/>
  <c r="J5" i="4"/>
  <c r="Z18" i="4" s="1"/>
  <c r="I5" i="4"/>
  <c r="H5" i="4"/>
  <c r="C5" i="4"/>
  <c r="D18" i="4" s="1"/>
  <c r="D24" i="4" s="1"/>
  <c r="B5" i="4"/>
  <c r="H38" i="2"/>
  <c r="G10" i="2"/>
  <c r="K34" i="2"/>
  <c r="F9" i="2"/>
  <c r="F10" i="2"/>
  <c r="G11" i="2"/>
  <c r="G12" i="2"/>
  <c r="G9" i="2"/>
  <c r="D17" i="2"/>
  <c r="D20" i="2"/>
  <c r="D19" i="2"/>
  <c r="D10" i="2"/>
  <c r="D12" i="2"/>
  <c r="D9" i="2"/>
  <c r="D11" i="2"/>
  <c r="D18" i="2"/>
  <c r="D16" i="2"/>
  <c r="D15" i="2"/>
  <c r="F12" i="2"/>
  <c r="H9" i="2"/>
  <c r="F11" i="2"/>
  <c r="C59" i="1"/>
  <c r="C60" i="1" s="1"/>
  <c r="E59" i="1"/>
  <c r="E60" i="1" s="1"/>
  <c r="C19" i="2"/>
  <c r="K44" i="1"/>
  <c r="G5" i="5"/>
  <c r="C15" i="2" l="1"/>
  <c r="F25" i="3" s="1"/>
  <c r="F24" i="3" s="1"/>
  <c r="B36" i="2" s="1"/>
  <c r="B18" i="4"/>
  <c r="B24" i="4" s="1"/>
  <c r="F16" i="2"/>
  <c r="B9" i="2"/>
  <c r="H17" i="2"/>
  <c r="G15" i="2"/>
  <c r="B17" i="5"/>
  <c r="F18" i="2"/>
  <c r="H18" i="2"/>
  <c r="B11" i="2"/>
  <c r="D5" i="4"/>
  <c r="C18" i="4" s="1"/>
  <c r="C24" i="4" s="1"/>
  <c r="F15" i="2"/>
  <c r="F17" i="2"/>
  <c r="K51" i="2"/>
  <c r="B12" i="5"/>
  <c r="J3" i="2"/>
  <c r="J41" i="1"/>
  <c r="B17" i="2" s="1"/>
  <c r="B13" i="2"/>
  <c r="H60" i="2"/>
  <c r="B8" i="2"/>
  <c r="G17" i="2"/>
  <c r="H16" i="2"/>
  <c r="C18" i="2"/>
  <c r="C17" i="2"/>
  <c r="J43" i="1"/>
  <c r="B19" i="2"/>
  <c r="B14" i="2"/>
  <c r="F31" i="1"/>
  <c r="B10" i="2"/>
  <c r="B7" i="2"/>
  <c r="H59" i="2"/>
  <c r="G18" i="2"/>
  <c r="H15" i="2"/>
  <c r="G16" i="2"/>
  <c r="E25" i="3" l="1"/>
  <c r="E24" i="3" s="1"/>
  <c r="B32" i="2" s="1"/>
  <c r="H61" i="2"/>
  <c r="E31" i="1" s="1"/>
  <c r="E38" i="2"/>
  <c r="E39" i="2" s="1"/>
  <c r="U18" i="4" s="1"/>
  <c r="B20" i="2"/>
  <c r="B18" i="2"/>
  <c r="E15" i="2"/>
  <c r="E16" i="2"/>
  <c r="E17" i="2"/>
  <c r="E18" i="2"/>
  <c r="E32" i="2"/>
  <c r="H32" i="2"/>
  <c r="K32" i="2"/>
  <c r="B33" i="2"/>
  <c r="E33" i="2"/>
  <c r="H33" i="2"/>
  <c r="B34" i="2"/>
  <c r="E34" i="2"/>
  <c r="H34" i="2"/>
  <c r="E35" i="2"/>
  <c r="H35" i="2"/>
  <c r="K35" i="2"/>
  <c r="E36" i="2"/>
  <c r="B37" i="2"/>
  <c r="E37" i="2"/>
  <c r="H37" i="2"/>
  <c r="K37" i="2"/>
  <c r="K38" i="2"/>
  <c r="H40" i="2"/>
  <c r="E41" i="2"/>
  <c r="K41" i="2"/>
  <c r="E42" i="2"/>
  <c r="K42" i="2"/>
  <c r="E43" i="2"/>
  <c r="K43" i="2"/>
  <c r="E44" i="2"/>
  <c r="K44" i="2"/>
  <c r="E45" i="2"/>
  <c r="K45" i="2"/>
  <c r="C49" i="2"/>
  <c r="E49" i="2"/>
  <c r="G49" i="2"/>
  <c r="K49" i="2"/>
  <c r="C50" i="2"/>
  <c r="E50" i="2"/>
  <c r="G50" i="2"/>
  <c r="K50" i="2"/>
  <c r="C51" i="2"/>
  <c r="E51" i="2"/>
  <c r="G51" i="2"/>
  <c r="K52" i="2"/>
  <c r="H54" i="2"/>
  <c r="B55" i="2"/>
  <c r="C55" i="2"/>
  <c r="D55" i="2"/>
  <c r="H55" i="2"/>
  <c r="K55" i="2"/>
  <c r="B56" i="2"/>
  <c r="D56" i="2"/>
  <c r="H56" i="2"/>
  <c r="K56" i="2"/>
  <c r="H57" i="2"/>
  <c r="K57" i="2"/>
  <c r="H58" i="2"/>
  <c r="K58" i="2"/>
  <c r="K59" i="2"/>
  <c r="E18" i="4"/>
  <c r="F18" i="4"/>
  <c r="G18" i="4"/>
  <c r="H18" i="4"/>
  <c r="I18" i="4"/>
  <c r="J18" i="4"/>
  <c r="N18" i="4"/>
  <c r="O18" i="4"/>
  <c r="P18" i="4"/>
  <c r="Q18" i="4"/>
  <c r="R18" i="4"/>
  <c r="S18" i="4"/>
  <c r="T18" i="4"/>
  <c r="E24" i="4"/>
  <c r="F24" i="4"/>
  <c r="G24" i="4"/>
  <c r="H24" i="4"/>
  <c r="I24" i="4"/>
  <c r="J24" i="4"/>
  <c r="N24" i="4"/>
  <c r="O24" i="4"/>
  <c r="P24" i="4"/>
  <c r="Q24" i="4"/>
  <c r="R24" i="4"/>
  <c r="S24" i="4"/>
  <c r="C12" i="5"/>
  <c r="D12" i="5"/>
  <c r="F12" i="5"/>
  <c r="C17" i="5"/>
  <c r="F17" i="5"/>
  <c r="C22" i="5"/>
  <c r="F22" i="5"/>
  <c r="C29" i="5"/>
  <c r="D29" i="5"/>
  <c r="E29" i="5"/>
  <c r="C30" i="5"/>
  <c r="E30" i="5"/>
  <c r="D33" i="5"/>
</calcChain>
</file>

<file path=xl/sharedStrings.xml><?xml version="1.0" encoding="utf-8"?>
<sst xmlns="http://schemas.openxmlformats.org/spreadsheetml/2006/main" count="638" uniqueCount="297">
  <si>
    <t/>
  </si>
  <si>
    <t xml:space="preserve"> </t>
  </si>
  <si>
    <t>UT</t>
  </si>
  <si>
    <t>PPM</t>
  </si>
  <si>
    <t>SSS</t>
  </si>
  <si>
    <t>MMDD</t>
  </si>
  <si>
    <t>NN</t>
  </si>
  <si>
    <t>nr</t>
  </si>
  <si>
    <t>type</t>
  </si>
  <si>
    <t>gon</t>
  </si>
  <si>
    <t xml:space="preserve"> position</t>
  </si>
  <si>
    <t>DI-fluxgate magnetometer</t>
  </si>
  <si>
    <t>TTMMSS</t>
  </si>
  <si>
    <t>HC</t>
  </si>
  <si>
    <t>VC</t>
  </si>
  <si>
    <t xml:space="preserve"> R </t>
  </si>
  <si>
    <r>
      <t>D</t>
    </r>
    <r>
      <rPr>
        <sz val="9"/>
        <rFont val="Arial"/>
        <family val="2"/>
      </rPr>
      <t>HN</t>
    </r>
  </si>
  <si>
    <r>
      <t>D</t>
    </r>
    <r>
      <rPr>
        <sz val="9"/>
        <rFont val="Arial"/>
        <family val="2"/>
      </rPr>
      <t>HE</t>
    </r>
  </si>
  <si>
    <t>DZ</t>
  </si>
  <si>
    <t>nT</t>
  </si>
  <si>
    <t xml:space="preserve"> PPM</t>
  </si>
  <si>
    <t xml:space="preserve">         </t>
  </si>
  <si>
    <t xml:space="preserve">  F  nT</t>
  </si>
  <si>
    <r>
      <t>D</t>
    </r>
    <r>
      <rPr>
        <sz val="8"/>
        <rFont val="Arial"/>
        <family val="2"/>
      </rPr>
      <t>HN</t>
    </r>
  </si>
  <si>
    <r>
      <t>D</t>
    </r>
    <r>
      <rPr>
        <sz val="8"/>
        <rFont val="Arial"/>
        <family val="2"/>
      </rPr>
      <t>HE</t>
    </r>
  </si>
  <si>
    <t>T1</t>
  </si>
  <si>
    <t>T2</t>
  </si>
  <si>
    <t>T3</t>
  </si>
  <si>
    <t>HC gon</t>
  </si>
  <si>
    <t>VC gon</t>
  </si>
  <si>
    <t>F nT</t>
  </si>
  <si>
    <t>=</t>
  </si>
  <si>
    <t xml:space="preserve"> Iteration:</t>
  </si>
  <si>
    <t xml:space="preserve"> Hp,0  =</t>
  </si>
  <si>
    <t xml:space="preserve"> Hr,0   =</t>
  </si>
  <si>
    <t xml:space="preserve"> I'   =</t>
  </si>
  <si>
    <t xml:space="preserve"> I    =</t>
  </si>
  <si>
    <t xml:space="preserve">        </t>
  </si>
  <si>
    <t>R0</t>
  </si>
  <si>
    <t>ð*H</t>
  </si>
  <si>
    <t>PPM nr.</t>
  </si>
  <si>
    <t>dF(PPM) nT</t>
  </si>
  <si>
    <t>dF nT</t>
  </si>
  <si>
    <t>H,0'</t>
  </si>
  <si>
    <t xml:space="preserve">I' </t>
  </si>
  <si>
    <t xml:space="preserve">  </t>
  </si>
  <si>
    <t>H</t>
  </si>
  <si>
    <t>D</t>
  </si>
  <si>
    <t>Z</t>
  </si>
  <si>
    <t>H4,0</t>
  </si>
  <si>
    <t>D4,0</t>
  </si>
  <si>
    <t>Z4,0</t>
  </si>
  <si>
    <t>S0</t>
  </si>
  <si>
    <r>
      <t>e</t>
    </r>
    <r>
      <rPr>
        <sz val="8"/>
        <color indexed="8"/>
        <rFont val="Arial"/>
        <family val="2"/>
      </rPr>
      <t>*Z</t>
    </r>
  </si>
  <si>
    <t>MM.MM</t>
  </si>
  <si>
    <t>DDDMM.M</t>
  </si>
  <si>
    <t>DDDMM.MM</t>
  </si>
  <si>
    <t>°C</t>
  </si>
  <si>
    <t>H6,0</t>
  </si>
  <si>
    <t>D6,0</t>
  </si>
  <si>
    <t>Z6,0</t>
  </si>
  <si>
    <t>DI-skala</t>
  </si>
  <si>
    <t>H,0</t>
  </si>
  <si>
    <t>D,0</t>
  </si>
  <si>
    <t>Z,0</t>
  </si>
  <si>
    <r>
      <t>e</t>
    </r>
    <r>
      <rPr>
        <b/>
        <sz val="9"/>
        <color indexed="8"/>
        <rFont val="Arial"/>
        <family val="2"/>
      </rPr>
      <t>*Z</t>
    </r>
  </si>
  <si>
    <r>
      <t xml:space="preserve"> D</t>
    </r>
    <r>
      <rPr>
        <sz val="9"/>
        <rFont val="Arial"/>
        <family val="2"/>
      </rPr>
      <t xml:space="preserve">B </t>
    </r>
  </si>
  <si>
    <t xml:space="preserve"> &lt;F&gt;          </t>
  </si>
  <si>
    <t xml:space="preserve"> dF(PPM) </t>
  </si>
  <si>
    <t xml:space="preserve"> &lt;H&gt;</t>
  </si>
  <si>
    <t xml:space="preserve"> &lt;Z&gt;</t>
  </si>
  <si>
    <t xml:space="preserve"> dI(020B)</t>
  </si>
  <si>
    <t xml:space="preserve"> A1,0 </t>
  </si>
  <si>
    <t xml:space="preserve"> A2,0 </t>
  </si>
  <si>
    <t xml:space="preserve"> A3,0 </t>
  </si>
  <si>
    <t xml:space="preserve"> A4,0 </t>
  </si>
  <si>
    <t xml:space="preserve"> Dp,0-Dr,0 </t>
  </si>
  <si>
    <t xml:space="preserve"> D,start</t>
  </si>
  <si>
    <t xml:space="preserve"> H,start</t>
  </si>
  <si>
    <t xml:space="preserve"> Z,start</t>
  </si>
  <si>
    <t xml:space="preserve"> H,0'   =</t>
  </si>
  <si>
    <r>
      <t xml:space="preserve"> </t>
    </r>
    <r>
      <rPr>
        <sz val="10"/>
        <rFont val="Arial"/>
        <family val="2"/>
      </rPr>
      <t>S</t>
    </r>
    <r>
      <rPr>
        <sz val="8"/>
        <rFont val="Arial"/>
        <family val="2"/>
      </rPr>
      <t>DI</t>
    </r>
    <r>
      <rPr>
        <sz val="9"/>
        <rFont val="Arial"/>
        <family val="2"/>
      </rPr>
      <t xml:space="preserve">  =</t>
    </r>
  </si>
  <si>
    <t>dF(PPM) =</t>
  </si>
  <si>
    <t>dF PPM #</t>
  </si>
  <si>
    <t>az(M) =</t>
  </si>
  <si>
    <t xml:space="preserve">          =</t>
  </si>
  <si>
    <t>S(HN)</t>
  </si>
  <si>
    <t>S(HE)</t>
  </si>
  <si>
    <t>S(Z)</t>
  </si>
  <si>
    <t xml:space="preserve">nT/LSB  </t>
  </si>
  <si>
    <t xml:space="preserve"> R  nT</t>
  </si>
  <si>
    <r>
      <t>D</t>
    </r>
    <r>
      <rPr>
        <sz val="8"/>
        <rFont val="Arial"/>
        <family val="2"/>
      </rPr>
      <t>HN nT</t>
    </r>
  </si>
  <si>
    <r>
      <t>D</t>
    </r>
    <r>
      <rPr>
        <sz val="8"/>
        <rFont val="Arial"/>
        <family val="2"/>
      </rPr>
      <t>HE nT</t>
    </r>
  </si>
  <si>
    <r>
      <t>DZ</t>
    </r>
    <r>
      <rPr>
        <sz val="8"/>
        <rFont val="Arial"/>
        <family val="2"/>
      </rPr>
      <t xml:space="preserve"> nT</t>
    </r>
  </si>
  <si>
    <r>
      <t xml:space="preserve"> D</t>
    </r>
    <r>
      <rPr>
        <sz val="9"/>
        <rFont val="Arial"/>
        <family val="2"/>
      </rPr>
      <t>R</t>
    </r>
  </si>
  <si>
    <t xml:space="preserve"> I2  =  B2,R - 200 =</t>
  </si>
  <si>
    <t xml:space="preserve"> I3  =  400 - B3,R =</t>
  </si>
  <si>
    <t xml:space="preserve"> I4  =  200 - B4,R =</t>
  </si>
  <si>
    <t xml:space="preserve"> &lt;I&gt;</t>
  </si>
  <si>
    <t xml:space="preserve"> I1  =  B1,R =</t>
  </si>
  <si>
    <t>MM DD</t>
  </si>
  <si>
    <t>TT MM</t>
  </si>
  <si>
    <r>
      <t>D</t>
    </r>
    <r>
      <rPr>
        <sz val="8"/>
        <color indexed="8"/>
        <rFont val="Arial"/>
        <family val="2"/>
      </rPr>
      <t>I*F</t>
    </r>
  </si>
  <si>
    <t>Tabs</t>
  </si>
  <si>
    <t>DI-flux measurement</t>
  </si>
  <si>
    <t>Station</t>
  </si>
  <si>
    <t>Year</t>
  </si>
  <si>
    <t>YYYY</t>
  </si>
  <si>
    <t>date</t>
  </si>
  <si>
    <t>Observer</t>
  </si>
  <si>
    <t>Az. Mark</t>
  </si>
  <si>
    <t>theodolite</t>
  </si>
  <si>
    <t>units</t>
  </si>
  <si>
    <t>primary</t>
  </si>
  <si>
    <t>position "sen. up"</t>
  </si>
  <si>
    <t>Azimuth reading converted to gon:</t>
  </si>
  <si>
    <t>D-flux measurement:</t>
  </si>
  <si>
    <t>Primary recording</t>
  </si>
  <si>
    <t>position "sen. dn."</t>
  </si>
  <si>
    <t>I-flux measurment:</t>
  </si>
  <si>
    <t>Manual proton magnetometer:</t>
  </si>
  <si>
    <t>Primary Recording</t>
  </si>
  <si>
    <t>Backup recording</t>
  </si>
  <si>
    <t>Temperature:</t>
  </si>
  <si>
    <t xml:space="preserve"> primary</t>
  </si>
  <si>
    <t xml:space="preserve"> backup</t>
  </si>
  <si>
    <t>absolute-hut</t>
  </si>
  <si>
    <t>mean</t>
  </si>
  <si>
    <t xml:space="preserve">converted to nT </t>
  </si>
  <si>
    <t xml:space="preserve"> Record</t>
  </si>
  <si>
    <t>Comments:</t>
  </si>
  <si>
    <t>Observatory constants in use:</t>
  </si>
  <si>
    <t xml:space="preserve"> station</t>
  </si>
  <si>
    <t>scale values</t>
  </si>
  <si>
    <t>Azimuth of mark</t>
  </si>
  <si>
    <t>mark nr.</t>
  </si>
  <si>
    <t>PPM Correction</t>
  </si>
  <si>
    <t>Pillar difference</t>
  </si>
  <si>
    <t>Starting values for</t>
  </si>
  <si>
    <t>iteration:</t>
  </si>
  <si>
    <t>Calc. of DI-flux measurement</t>
  </si>
  <si>
    <t>primary recording</t>
  </si>
  <si>
    <t>station</t>
  </si>
  <si>
    <t>year</t>
  </si>
  <si>
    <t>observer</t>
  </si>
  <si>
    <t>mark dn</t>
  </si>
  <si>
    <t>mark up</t>
  </si>
  <si>
    <t xml:space="preserve"> 4.2. S up</t>
  </si>
  <si>
    <t xml:space="preserve"> 4.3. S up</t>
  </si>
  <si>
    <t>input data (mean values from measurement):</t>
  </si>
  <si>
    <t>input constants</t>
  </si>
  <si>
    <r>
      <t xml:space="preserve"> S</t>
    </r>
    <r>
      <rPr>
        <sz val="8"/>
        <rFont val="Arial"/>
        <family val="2"/>
      </rPr>
      <t>HN(pr)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</si>
  <si>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</si>
  <si>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Z(pr)</t>
    </r>
    <r>
      <rPr>
        <sz val="9"/>
        <rFont val="Arial"/>
        <family val="2"/>
      </rPr>
      <t xml:space="preserve">  =</t>
    </r>
  </si>
  <si>
    <t>scalevalue for DI-fluxgate magnetometer</t>
  </si>
  <si>
    <t>azimuth for mark #</t>
  </si>
  <si>
    <t>pillar differences</t>
  </si>
  <si>
    <t>Calculation:</t>
  </si>
  <si>
    <t>Calculation of D,0:</t>
  </si>
  <si>
    <t>Calculation of I:</t>
  </si>
  <si>
    <t>Calculation of F, H og Z:</t>
  </si>
  <si>
    <t xml:space="preserve"> mean</t>
  </si>
  <si>
    <t xml:space="preserve"> A,0 pointing mN</t>
  </si>
  <si>
    <t xml:space="preserve"> &lt;A,mark&gt;</t>
  </si>
  <si>
    <t xml:space="preserve"> A,mark </t>
  </si>
  <si>
    <t xml:space="preserve"> dD(pillar) </t>
  </si>
  <si>
    <t xml:space="preserve"> Dp,0,cor</t>
  </si>
  <si>
    <t xml:space="preserve"> Dr,0,cor </t>
  </si>
  <si>
    <t xml:space="preserve"> dI(pillar)</t>
  </si>
  <si>
    <t xml:space="preserve"> dF(pillar)   </t>
  </si>
  <si>
    <t>dD(pill.) =</t>
  </si>
  <si>
    <t>dI(pill.) =</t>
  </si>
  <si>
    <t>dF(pill.) =</t>
  </si>
  <si>
    <t>Calculation of D, H and Z at</t>
  </si>
  <si>
    <t>measurement's start time:</t>
  </si>
  <si>
    <t>Calculated basevalues</t>
  </si>
  <si>
    <t xml:space="preserve"> record.</t>
  </si>
  <si>
    <t xml:space="preserve"> control of DI-flux scalevalue:</t>
  </si>
  <si>
    <t xml:space="preserve"> rotation</t>
  </si>
  <si>
    <r>
      <t>field change(</t>
    </r>
    <r>
      <rPr>
        <sz val="8"/>
        <color indexed="8"/>
        <rFont val="Arial"/>
        <family val="2"/>
      </rPr>
      <t>B4,3-B4,2</t>
    </r>
    <r>
      <rPr>
        <sz val="9"/>
        <color indexed="8"/>
        <rFont val="Arial"/>
        <family val="2"/>
      </rPr>
      <t>)</t>
    </r>
  </si>
  <si>
    <t>calculated scalevalue</t>
  </si>
  <si>
    <t>Calculated DI-flux constants:</t>
  </si>
  <si>
    <t xml:space="preserve"> D</t>
  </si>
  <si>
    <t xml:space="preserve"> I</t>
  </si>
  <si>
    <t>record.</t>
  </si>
  <si>
    <t>Error finding D:</t>
  </si>
  <si>
    <t xml:space="preserve"> note:  0.01 gon =</t>
  </si>
  <si>
    <t>Error finding I:</t>
  </si>
  <si>
    <t>note: 0.001 =</t>
  </si>
  <si>
    <t xml:space="preserve"> &lt;mark. before D-flux&gt;</t>
  </si>
  <si>
    <t xml:space="preserve"> &lt;mark after D-flux&gt;</t>
  </si>
  <si>
    <t>difference</t>
  </si>
  <si>
    <t xml:space="preserve"> A1,0,cor</t>
  </si>
  <si>
    <t xml:space="preserve"> A2,0,cor</t>
  </si>
  <si>
    <t xml:space="preserve"> A3,0,cor</t>
  </si>
  <si>
    <t xml:space="preserve"> A4,0,cor</t>
  </si>
  <si>
    <t xml:space="preserve"> I1,cor</t>
  </si>
  <si>
    <t xml:space="preserve"> I2,cor</t>
  </si>
  <si>
    <t xml:space="preserve"> I3,cor</t>
  </si>
  <si>
    <t xml:space="preserve"> I4,cor</t>
  </si>
  <si>
    <t xml:space="preserve"> &lt;F&gt;,cor    </t>
  </si>
  <si>
    <t xml:space="preserve"> &lt;I&gt;,cor </t>
  </si>
  <si>
    <t>data for overview</t>
  </si>
  <si>
    <t>mark</t>
  </si>
  <si>
    <t>HHMM</t>
  </si>
  <si>
    <t>data for yearly overview of recording 4</t>
  </si>
  <si>
    <t>data for yearly overview of recording 6</t>
  </si>
  <si>
    <t>code</t>
  </si>
  <si>
    <t>month</t>
  </si>
  <si>
    <t>gon/unit</t>
  </si>
  <si>
    <t>YYYYMMDD</t>
  </si>
  <si>
    <t>Constants</t>
  </si>
  <si>
    <t>S(DI) *</t>
  </si>
  <si>
    <t>Decl</t>
  </si>
  <si>
    <t>Incl</t>
  </si>
  <si>
    <t>DDD MM.MM</t>
  </si>
  <si>
    <t>NNN</t>
  </si>
  <si>
    <t>HHMMSS</t>
  </si>
  <si>
    <t>position "sen. dn"</t>
  </si>
  <si>
    <t>Measurement-info:</t>
  </si>
  <si>
    <t>hemisph.</t>
  </si>
  <si>
    <t>DI-scale</t>
  </si>
  <si>
    <t>S(DI) [nT]</t>
  </si>
  <si>
    <t>N=1/S=-1</t>
  </si>
  <si>
    <t>HC&amp;VC conv. to gon</t>
  </si>
  <si>
    <t>HC, conv</t>
  </si>
  <si>
    <t>VC, conv</t>
  </si>
  <si>
    <t>Azimuth mark before D-flux measurement:</t>
  </si>
  <si>
    <t>Azimuth mark after D-flux measurement:</t>
  </si>
  <si>
    <t>magn. N</t>
  </si>
  <si>
    <t>[gon]</t>
  </si>
  <si>
    <t>* scalevalue of DI-flux, positive (negative) for field reading positve (negative) for telescope pointing north, value from 'measurement'-arc</t>
  </si>
  <si>
    <t>determined from North up, PPM</t>
  </si>
  <si>
    <t>static number, defined by user</t>
  </si>
  <si>
    <t>mark with</t>
  </si>
  <si>
    <t>X</t>
  </si>
  <si>
    <t>values used for calculation</t>
  </si>
  <si>
    <t>Az mark</t>
  </si>
  <si>
    <t>nr.</t>
  </si>
  <si>
    <t>nr. or type</t>
  </si>
  <si>
    <t>secondary</t>
  </si>
  <si>
    <t>secondary recording</t>
  </si>
  <si>
    <t>scalevalues for primary and secondary rec.</t>
  </si>
  <si>
    <t>record</t>
  </si>
  <si>
    <t>prinamr</t>
  </si>
  <si>
    <t>prinmary</t>
  </si>
  <si>
    <t>Values from secondary recording:</t>
  </si>
  <si>
    <r>
      <t xml:space="preserve"> S</t>
    </r>
    <r>
      <rPr>
        <sz val="8"/>
        <rFont val="Arial"/>
        <family val="2"/>
      </rPr>
      <t>HN(sec)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</si>
  <si>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</si>
  <si>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Z(sec)</t>
    </r>
    <r>
      <rPr>
        <sz val="9"/>
        <rFont val="Arial"/>
        <family val="2"/>
      </rPr>
      <t xml:space="preserve">  =</t>
    </r>
  </si>
  <si>
    <t>Baseline Summary -</t>
  </si>
  <si>
    <t>Instrument</t>
  </si>
  <si>
    <t>Pier</t>
  </si>
  <si>
    <t>Time</t>
  </si>
  <si>
    <t>Min.</t>
  </si>
  <si>
    <t>Baseline Value</t>
  </si>
  <si>
    <t>Deg.</t>
  </si>
  <si>
    <t>Horizontal Intensity</t>
  </si>
  <si>
    <t>Declination</t>
  </si>
  <si>
    <t>Absolute Value</t>
  </si>
  <si>
    <t>Vertical Intensity</t>
  </si>
  <si>
    <t>Date</t>
  </si>
  <si>
    <t>Pier Correction</t>
  </si>
  <si>
    <t>Instrument Diagnostics</t>
  </si>
  <si>
    <r>
      <t>e</t>
    </r>
    <r>
      <rPr>
        <b/>
        <sz val="10"/>
        <color indexed="8"/>
        <rFont val="Arial"/>
        <family val="2"/>
      </rPr>
      <t>*Z</t>
    </r>
  </si>
  <si>
    <t>Inclination</t>
  </si>
  <si>
    <t>Computed</t>
  </si>
  <si>
    <t>Scale Value</t>
  </si>
  <si>
    <t>Temperature</t>
  </si>
  <si>
    <t>West Dn</t>
  </si>
  <si>
    <t>East Dn</t>
  </si>
  <si>
    <t>West Up</t>
  </si>
  <si>
    <t>East Up</t>
  </si>
  <si>
    <t>Mark Up</t>
  </si>
  <si>
    <t>Mark Down</t>
  </si>
  <si>
    <t>USGS Order</t>
  </si>
  <si>
    <t xml:space="preserve"> 1. W dn</t>
  </si>
  <si>
    <t xml:space="preserve"> 2. E dn</t>
  </si>
  <si>
    <t xml:space="preserve"> 3. W up</t>
  </si>
  <si>
    <t xml:space="preserve"> 4. E up</t>
  </si>
  <si>
    <t>South dn</t>
  </si>
  <si>
    <t>North up</t>
  </si>
  <si>
    <t>South up</t>
  </si>
  <si>
    <t>North dn</t>
  </si>
  <si>
    <t xml:space="preserve"> 1. S dn</t>
  </si>
  <si>
    <t xml:space="preserve"> 2. N up</t>
  </si>
  <si>
    <t xml:space="preserve"> 3. S up</t>
  </si>
  <si>
    <t xml:space="preserve"> 4. N dn</t>
  </si>
  <si>
    <t>Checked By</t>
  </si>
  <si>
    <t>DED</t>
  </si>
  <si>
    <t>DMS</t>
  </si>
  <si>
    <t>August 2013</t>
  </si>
  <si>
    <t>Main</t>
  </si>
  <si>
    <t>YearDay</t>
  </si>
  <si>
    <t>Version 1.2</t>
  </si>
  <si>
    <t>[sec]</t>
  </si>
  <si>
    <t>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</si>
</sst>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164" formatCode="00000000"/>
    <numFmt numFmtId="165" formatCode="0000"/>
    <numFmt numFmtId="166" formatCode="000"/>
    <numFmt numFmtId="167" formatCode="0_)"/>
    <numFmt numFmtId="168" formatCode="0.0000"/>
    <numFmt numFmtId="169" formatCode="0.0000_)"/>
    <numFmt numFmtId="170" formatCode="000000"/>
    <numFmt numFmtId="171" formatCode="0.0"/>
    <numFmt numFmtId="172" formatCode="0.0_)"/>
    <numFmt numFmtId="173" formatCode="0.00;[Red]0.00"/>
    <numFmt numFmtId="174" formatCode="0\ 00.0"/>
    <numFmt numFmtId="175" formatCode="0\ 00.00"/>
    <numFmt numFmtId="176" formatCode="0.000"/>
    <numFmt numFmtId="177" formatCode="0.00_)"/>
    <numFmt numFmtId="178" formatCode="0.0&quot; nT&quot;"/>
    <numFmt numFmtId="179" formatCode="0\°00.00\'"/>
    <numFmt numFmtId="180" formatCode="0.0\ \°\C"/>
    <numFmt numFmtId="181" formatCode="0\°00.0\'"/>
    <numFmt numFmtId="182" formatCode="0.0\'"/>
    <numFmt numFmtId="183" formatCode="0.00\'"/>
    <numFmt numFmtId="184" formatCode="0.0000&quot; gn&quot;"/>
    <numFmt numFmtId="185" formatCode="&quot;PPM # &quot;000"/>
    <numFmt numFmtId="186" formatCode="0.0\'\'"/>
    <numFmt numFmtId="187" formatCode="00\ 00"/>
  </numFmts>
  <fonts count="5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6"/>
      <name val="Arial"/>
      <family val="2"/>
    </font>
    <font>
      <sz val="8"/>
      <color indexed="10"/>
      <name val="Arial"/>
      <family val="2"/>
    </font>
    <font>
      <sz val="9"/>
      <name val="Symbol"/>
      <family val="1"/>
      <charset val="2"/>
    </font>
    <font>
      <sz val="14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indexed="8"/>
      <name val="Symbol"/>
      <family val="1"/>
      <charset val="2"/>
    </font>
    <font>
      <b/>
      <sz val="10"/>
      <color indexed="10"/>
      <name val="Arial"/>
      <family val="2"/>
    </font>
    <font>
      <sz val="10"/>
      <name val="Arial"/>
      <family val="2"/>
    </font>
    <font>
      <sz val="9"/>
      <color indexed="10"/>
      <name val="Arial"/>
      <family val="2"/>
    </font>
    <font>
      <sz val="8"/>
      <name val="Symbol"/>
      <family val="1"/>
      <charset val="2"/>
    </font>
    <font>
      <b/>
      <sz val="9"/>
      <name val="Arial"/>
      <family val="2"/>
    </font>
    <font>
      <sz val="9"/>
      <color indexed="8"/>
      <name val="Arial"/>
      <family val="2"/>
    </font>
    <font>
      <sz val="12"/>
      <name val="Arial"/>
      <family val="2"/>
    </font>
    <font>
      <b/>
      <sz val="11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indexed="56"/>
      <name val="Arial"/>
      <family val="2"/>
    </font>
    <font>
      <sz val="9"/>
      <color indexed="10"/>
      <name val="Arial"/>
      <family val="2"/>
    </font>
    <font>
      <b/>
      <sz val="9"/>
      <color indexed="8"/>
      <name val="Symbol"/>
      <family val="1"/>
      <charset val="2"/>
    </font>
    <font>
      <b/>
      <sz val="9"/>
      <color indexed="8"/>
      <name val="Arial"/>
      <family val="2"/>
    </font>
    <font>
      <sz val="8"/>
      <color indexed="10"/>
      <name val="Arial"/>
      <family val="2"/>
    </font>
    <font>
      <b/>
      <sz val="16"/>
      <name val="Arial"/>
      <family val="2"/>
    </font>
    <font>
      <b/>
      <sz val="7"/>
      <color indexed="8"/>
      <name val="Arial"/>
      <family val="2"/>
    </font>
    <font>
      <b/>
      <sz val="16"/>
      <color indexed="8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sz val="9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Symbol"/>
      <family val="1"/>
      <charset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lightGray">
        <fgColor indexed="10"/>
      </patternFill>
    </fill>
    <fill>
      <patternFill patternType="solid">
        <fgColor indexed="9"/>
        <bgColor indexed="8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95">
    <xf numFmtId="0" fontId="0" fillId="0" borderId="0" xfId="0"/>
    <xf numFmtId="0" fontId="4" fillId="0" borderId="1" xfId="0" applyFont="1" applyBorder="1" applyAlignment="1" applyProtection="1">
      <alignment horizontal="right"/>
    </xf>
    <xf numFmtId="0" fontId="4" fillId="0" borderId="0" xfId="0" applyFont="1" applyProtection="1"/>
    <xf numFmtId="0" fontId="5" fillId="0" borderId="0" xfId="0" applyFont="1"/>
    <xf numFmtId="0" fontId="6" fillId="0" borderId="0" xfId="0" applyFont="1" applyBorder="1" applyAlignment="1" applyProtection="1">
      <alignment horizontal="fill"/>
    </xf>
    <xf numFmtId="0" fontId="7" fillId="0" borderId="0" xfId="0" applyFont="1" applyAlignment="1" applyProtection="1">
      <alignment horizontal="center"/>
    </xf>
    <xf numFmtId="0" fontId="8" fillId="0" borderId="0" xfId="0" applyFont="1" applyBorder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centerContinuous"/>
    </xf>
    <xf numFmtId="0" fontId="7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fill"/>
    </xf>
    <xf numFmtId="0" fontId="11" fillId="0" borderId="0" xfId="0" applyFont="1"/>
    <xf numFmtId="0" fontId="4" fillId="0" borderId="0" xfId="0" applyFont="1" applyBorder="1" applyAlignment="1" applyProtection="1">
      <alignment horizontal="center"/>
    </xf>
    <xf numFmtId="1" fontId="6" fillId="0" borderId="0" xfId="0" applyNumberFormat="1" applyFont="1" applyBorder="1" applyProtection="1"/>
    <xf numFmtId="167" fontId="6" fillId="0" borderId="0" xfId="0" applyNumberFormat="1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left"/>
    </xf>
    <xf numFmtId="169" fontId="4" fillId="0" borderId="0" xfId="0" applyNumberFormat="1" applyFont="1" applyBorder="1" applyProtection="1"/>
    <xf numFmtId="0" fontId="4" fillId="0" borderId="0" xfId="0" applyFont="1" applyBorder="1" applyAlignment="1" applyProtection="1">
      <alignment horizontal="fill"/>
    </xf>
    <xf numFmtId="0" fontId="4" fillId="0" borderId="2" xfId="0" applyFont="1" applyBorder="1" applyAlignment="1" applyProtection="1">
      <alignment horizontal="fill"/>
    </xf>
    <xf numFmtId="171" fontId="6" fillId="0" borderId="3" xfId="0" applyNumberFormat="1" applyFont="1" applyBorder="1" applyProtection="1">
      <protection locked="0"/>
    </xf>
    <xf numFmtId="0" fontId="4" fillId="0" borderId="2" xfId="0" applyFont="1" applyBorder="1" applyProtection="1"/>
    <xf numFmtId="171" fontId="6" fillId="0" borderId="1" xfId="0" applyNumberFormat="1" applyFont="1" applyBorder="1" applyProtection="1">
      <protection locked="0"/>
    </xf>
    <xf numFmtId="0" fontId="4" fillId="0" borderId="0" xfId="0" applyFont="1" applyBorder="1" applyProtection="1"/>
    <xf numFmtId="167" fontId="6" fillId="0" borderId="0" xfId="0" applyNumberFormat="1" applyFont="1" applyBorder="1" applyProtection="1"/>
    <xf numFmtId="168" fontId="6" fillId="0" borderId="0" xfId="0" applyNumberFormat="1" applyFont="1" applyBorder="1" applyProtection="1"/>
    <xf numFmtId="0" fontId="4" fillId="0" borderId="0" xfId="0" applyFont="1" applyBorder="1" applyAlignment="1" applyProtection="1">
      <alignment horizontal="right"/>
    </xf>
    <xf numFmtId="172" fontId="6" fillId="0" borderId="0" xfId="0" applyNumberFormat="1" applyFont="1" applyBorder="1" applyProtection="1"/>
    <xf numFmtId="171" fontId="6" fillId="0" borderId="0" xfId="0" applyNumberFormat="1" applyFont="1" applyBorder="1" applyProtection="1"/>
    <xf numFmtId="173" fontId="4" fillId="0" borderId="0" xfId="0" applyNumberFormat="1" applyFont="1" applyProtection="1"/>
    <xf numFmtId="0" fontId="12" fillId="0" borderId="0" xfId="0" applyFont="1"/>
    <xf numFmtId="171" fontId="9" fillId="0" borderId="1" xfId="0" applyNumberFormat="1" applyFont="1" applyBorder="1" applyProtection="1"/>
    <xf numFmtId="0" fontId="3" fillId="0" borderId="0" xfId="0" applyFont="1" applyProtection="1"/>
    <xf numFmtId="0" fontId="6" fillId="0" borderId="0" xfId="0" applyFont="1" applyProtection="1"/>
    <xf numFmtId="0" fontId="14" fillId="0" borderId="2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3" fillId="0" borderId="5" xfId="0" applyFont="1" applyBorder="1" applyAlignment="1" applyProtection="1">
      <alignment horizontal="centerContinuous"/>
    </xf>
    <xf numFmtId="0" fontId="13" fillId="0" borderId="6" xfId="0" applyFont="1" applyBorder="1" applyAlignment="1" applyProtection="1">
      <alignment horizontal="centerContinuous"/>
    </xf>
    <xf numFmtId="0" fontId="13" fillId="0" borderId="7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Continuous"/>
    </xf>
    <xf numFmtId="0" fontId="4" fillId="0" borderId="6" xfId="0" applyFont="1" applyBorder="1" applyAlignment="1" applyProtection="1">
      <alignment horizontal="centerContinuous"/>
    </xf>
    <xf numFmtId="0" fontId="13" fillId="0" borderId="2" xfId="0" applyFont="1" applyBorder="1" applyAlignment="1" applyProtection="1">
      <alignment horizontal="left"/>
    </xf>
    <xf numFmtId="0" fontId="13" fillId="0" borderId="11" xfId="0" applyFont="1" applyBorder="1" applyAlignment="1" applyProtection="1">
      <alignment horizontal="left"/>
    </xf>
    <xf numFmtId="0" fontId="13" fillId="0" borderId="0" xfId="0" applyFont="1" applyBorder="1" applyProtection="1"/>
    <xf numFmtId="0" fontId="13" fillId="0" borderId="0" xfId="0" applyFont="1" applyBorder="1" applyAlignment="1" applyProtection="1">
      <alignment horizontal="centerContinuous"/>
    </xf>
    <xf numFmtId="0" fontId="20" fillId="0" borderId="0" xfId="0" applyFont="1" applyAlignment="1" applyProtection="1">
      <alignment horizontal="left"/>
    </xf>
    <xf numFmtId="0" fontId="4" fillId="0" borderId="12" xfId="0" applyFont="1" applyBorder="1" applyProtection="1"/>
    <xf numFmtId="0" fontId="14" fillId="0" borderId="0" xfId="0" applyFont="1" applyProtection="1"/>
    <xf numFmtId="0" fontId="21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fill"/>
    </xf>
    <xf numFmtId="0" fontId="14" fillId="0" borderId="10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Continuous"/>
    </xf>
    <xf numFmtId="0" fontId="14" fillId="0" borderId="6" xfId="0" applyFont="1" applyBorder="1" applyAlignment="1" applyProtection="1">
      <alignment horizontal="centerContinuous"/>
    </xf>
    <xf numFmtId="0" fontId="15" fillId="0" borderId="2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center"/>
    </xf>
    <xf numFmtId="0" fontId="22" fillId="0" borderId="2" xfId="0" applyFont="1" applyBorder="1" applyAlignment="1" applyProtection="1">
      <alignment horizontal="center"/>
    </xf>
    <xf numFmtId="1" fontId="22" fillId="0" borderId="9" xfId="0" applyNumberFormat="1" applyFont="1" applyBorder="1" applyAlignment="1" applyProtection="1">
      <alignment horizontal="right"/>
    </xf>
    <xf numFmtId="165" fontId="22" fillId="0" borderId="4" xfId="0" applyNumberFormat="1" applyFont="1" applyBorder="1" applyAlignment="1" applyProtection="1">
      <alignment horizontal="right"/>
    </xf>
    <xf numFmtId="165" fontId="22" fillId="0" borderId="1" xfId="0" applyNumberFormat="1" applyFont="1" applyBorder="1" applyAlignment="1" applyProtection="1">
      <alignment horizontal="right"/>
    </xf>
    <xf numFmtId="1" fontId="16" fillId="0" borderId="1" xfId="0" applyNumberFormat="1" applyFont="1" applyBorder="1" applyAlignment="1" applyProtection="1">
      <alignment horizontal="center"/>
    </xf>
    <xf numFmtId="166" fontId="16" fillId="0" borderId="9" xfId="0" applyNumberFormat="1" applyFont="1" applyBorder="1" applyAlignment="1" applyProtection="1">
      <alignment horizontal="center"/>
    </xf>
    <xf numFmtId="0" fontId="16" fillId="0" borderId="1" xfId="0" applyFont="1" applyBorder="1" applyAlignment="1" applyProtection="1">
      <alignment horizontal="center"/>
    </xf>
    <xf numFmtId="0" fontId="14" fillId="0" borderId="0" xfId="0" applyFont="1" applyAlignment="1" applyProtection="1">
      <alignment horizontal="left"/>
    </xf>
    <xf numFmtId="14" fontId="14" fillId="0" borderId="0" xfId="0" quotePrefix="1" applyNumberFormat="1" applyFont="1" applyProtection="1"/>
    <xf numFmtId="0" fontId="14" fillId="0" borderId="0" xfId="0" applyFont="1" applyBorder="1" applyProtection="1"/>
    <xf numFmtId="1" fontId="23" fillId="0" borderId="0" xfId="0" applyNumberFormat="1" applyFont="1" applyBorder="1" applyAlignment="1" applyProtection="1">
      <alignment horizontal="right"/>
    </xf>
    <xf numFmtId="0" fontId="14" fillId="0" borderId="0" xfId="0" applyFont="1" applyBorder="1" applyAlignment="1" applyProtection="1">
      <alignment horizontal="center"/>
    </xf>
    <xf numFmtId="0" fontId="21" fillId="0" borderId="0" xfId="0" applyFont="1" applyBorder="1" applyProtection="1"/>
    <xf numFmtId="1" fontId="25" fillId="0" borderId="0" xfId="0" applyNumberFormat="1" applyFont="1" applyBorder="1" applyAlignment="1" applyProtection="1">
      <alignment horizontal="center"/>
    </xf>
    <xf numFmtId="0" fontId="14" fillId="0" borderId="0" xfId="0" applyFont="1" applyAlignment="1" applyProtection="1">
      <alignment horizontal="centerContinuous"/>
    </xf>
    <xf numFmtId="0" fontId="27" fillId="0" borderId="2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1" fontId="4" fillId="0" borderId="0" xfId="0" applyNumberFormat="1" applyFont="1" applyBorder="1" applyProtection="1"/>
    <xf numFmtId="1" fontId="4" fillId="0" borderId="0" xfId="0" applyNumberFormat="1" applyFont="1" applyBorder="1" applyAlignment="1" applyProtection="1">
      <alignment horizontal="right"/>
    </xf>
    <xf numFmtId="0" fontId="28" fillId="0" borderId="0" xfId="0" applyFont="1"/>
    <xf numFmtId="172" fontId="4" fillId="0" borderId="0" xfId="0" applyNumberFormat="1" applyFont="1" applyBorder="1" applyProtection="1"/>
    <xf numFmtId="0" fontId="4" fillId="0" borderId="4" xfId="0" applyFont="1" applyBorder="1" applyProtection="1"/>
    <xf numFmtId="0" fontId="4" fillId="0" borderId="1" xfId="0" applyFont="1" applyBorder="1" applyProtection="1"/>
    <xf numFmtId="0" fontId="4" fillId="0" borderId="8" xfId="0" applyFont="1" applyBorder="1" applyProtection="1"/>
    <xf numFmtId="0" fontId="9" fillId="0" borderId="12" xfId="0" applyFont="1" applyBorder="1" applyProtection="1"/>
    <xf numFmtId="0" fontId="4" fillId="0" borderId="9" xfId="0" applyFont="1" applyBorder="1" applyProtection="1"/>
    <xf numFmtId="177" fontId="4" fillId="0" borderId="0" xfId="0" applyNumberFormat="1" applyFont="1" applyBorder="1" applyProtection="1"/>
    <xf numFmtId="168" fontId="29" fillId="0" borderId="0" xfId="0" applyNumberFormat="1" applyFont="1" applyBorder="1" applyProtection="1"/>
    <xf numFmtId="0" fontId="30" fillId="0" borderId="1" xfId="0" applyFont="1" applyBorder="1" applyAlignment="1" applyProtection="1">
      <alignment horizontal="right"/>
    </xf>
    <xf numFmtId="0" fontId="13" fillId="0" borderId="8" xfId="0" applyFont="1" applyBorder="1" applyProtection="1"/>
    <xf numFmtId="0" fontId="13" fillId="0" borderId="0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right"/>
    </xf>
    <xf numFmtId="0" fontId="13" fillId="0" borderId="13" xfId="0" applyFont="1" applyBorder="1" applyAlignment="1" applyProtection="1">
      <alignment horizontal="left"/>
    </xf>
    <xf numFmtId="0" fontId="0" fillId="0" borderId="2" xfId="0" applyBorder="1"/>
    <xf numFmtId="0" fontId="4" fillId="0" borderId="0" xfId="0" applyFont="1"/>
    <xf numFmtId="0" fontId="4" fillId="0" borderId="0" xfId="0" applyFont="1" applyBorder="1" applyAlignment="1" applyProtection="1">
      <alignment horizontal="centerContinuous"/>
    </xf>
    <xf numFmtId="0" fontId="33" fillId="0" borderId="0" xfId="0" applyFont="1" applyAlignment="1" applyProtection="1">
      <alignment horizontal="left"/>
    </xf>
    <xf numFmtId="0" fontId="34" fillId="0" borderId="0" xfId="0" applyFont="1" applyAlignment="1" applyProtection="1">
      <alignment horizontal="center"/>
    </xf>
    <xf numFmtId="171" fontId="29" fillId="0" borderId="1" xfId="0" applyNumberFormat="1" applyFont="1" applyBorder="1" applyProtection="1"/>
    <xf numFmtId="171" fontId="29" fillId="0" borderId="12" xfId="0" applyNumberFormat="1" applyFont="1" applyBorder="1" applyProtection="1"/>
    <xf numFmtId="168" fontId="13" fillId="2" borderId="14" xfId="0" applyNumberFormat="1" applyFont="1" applyFill="1" applyBorder="1" applyAlignment="1" applyProtection="1">
      <alignment horizontal="right"/>
    </xf>
    <xf numFmtId="168" fontId="29" fillId="0" borderId="12" xfId="0" applyNumberFormat="1" applyFont="1" applyBorder="1" applyProtection="1"/>
    <xf numFmtId="168" fontId="29" fillId="0" borderId="3" xfId="0" applyNumberFormat="1" applyFont="1" applyBorder="1" applyProtection="1"/>
    <xf numFmtId="168" fontId="13" fillId="2" borderId="12" xfId="0" applyNumberFormat="1" applyFont="1" applyFill="1" applyBorder="1" applyAlignment="1" applyProtection="1">
      <alignment horizontal="right"/>
    </xf>
    <xf numFmtId="168" fontId="13" fillId="2" borderId="3" xfId="0" applyNumberFormat="1" applyFont="1" applyFill="1" applyBorder="1" applyAlignment="1" applyProtection="1">
      <alignment horizontal="right"/>
    </xf>
    <xf numFmtId="168" fontId="13" fillId="2" borderId="15" xfId="0" applyNumberFormat="1" applyFont="1" applyFill="1" applyBorder="1" applyAlignment="1" applyProtection="1">
      <alignment horizontal="right"/>
    </xf>
    <xf numFmtId="168" fontId="13" fillId="2" borderId="16" xfId="0" applyNumberFormat="1" applyFont="1" applyFill="1" applyBorder="1" applyAlignment="1" applyProtection="1">
      <alignment horizontal="right"/>
    </xf>
    <xf numFmtId="168" fontId="13" fillId="2" borderId="17" xfId="0" applyNumberFormat="1" applyFont="1" applyFill="1" applyBorder="1" applyAlignment="1" applyProtection="1">
      <alignment horizontal="right"/>
    </xf>
    <xf numFmtId="168" fontId="13" fillId="2" borderId="18" xfId="0" applyNumberFormat="1" applyFont="1" applyFill="1" applyBorder="1" applyAlignment="1" applyProtection="1">
      <alignment horizontal="right"/>
    </xf>
    <xf numFmtId="168" fontId="13" fillId="2" borderId="1" xfId="0" applyNumberFormat="1" applyFont="1" applyFill="1" applyBorder="1" applyAlignment="1" applyProtection="1">
      <alignment horizontal="right"/>
    </xf>
    <xf numFmtId="0" fontId="14" fillId="0" borderId="19" xfId="0" applyFont="1" applyBorder="1" applyAlignment="1" applyProtection="1">
      <alignment horizontal="right"/>
    </xf>
    <xf numFmtId="0" fontId="14" fillId="0" borderId="19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right"/>
    </xf>
    <xf numFmtId="0" fontId="4" fillId="0" borderId="2" xfId="0" applyFont="1" applyBorder="1" applyAlignment="1" applyProtection="1">
      <alignment horizontal="right"/>
    </xf>
    <xf numFmtId="0" fontId="13" fillId="0" borderId="20" xfId="0" applyFont="1" applyBorder="1" applyAlignment="1" applyProtection="1">
      <alignment horizontal="right"/>
    </xf>
    <xf numFmtId="170" fontId="9" fillId="0" borderId="13" xfId="0" applyNumberFormat="1" applyFont="1" applyBorder="1" applyProtection="1"/>
    <xf numFmtId="170" fontId="6" fillId="0" borderId="3" xfId="0" applyNumberFormat="1" applyFont="1" applyBorder="1" applyProtection="1">
      <protection locked="0"/>
    </xf>
    <xf numFmtId="168" fontId="29" fillId="0" borderId="21" xfId="0" applyNumberFormat="1" applyFont="1" applyBorder="1" applyProtection="1"/>
    <xf numFmtId="168" fontId="13" fillId="2" borderId="22" xfId="0" applyNumberFormat="1" applyFont="1" applyFill="1" applyBorder="1" applyAlignment="1" applyProtection="1">
      <alignment horizontal="right"/>
    </xf>
    <xf numFmtId="168" fontId="29" fillId="0" borderId="23" xfId="0" applyNumberFormat="1" applyFont="1" applyBorder="1" applyProtection="1"/>
    <xf numFmtId="168" fontId="13" fillId="2" borderId="24" xfId="0" applyNumberFormat="1" applyFont="1" applyFill="1" applyBorder="1" applyAlignment="1" applyProtection="1">
      <alignment horizontal="right"/>
    </xf>
    <xf numFmtId="168" fontId="29" fillId="0" borderId="19" xfId="0" applyNumberFormat="1" applyFont="1" applyBorder="1" applyProtection="1"/>
    <xf numFmtId="168" fontId="13" fillId="2" borderId="25" xfId="0" applyNumberFormat="1" applyFont="1" applyFill="1" applyBorder="1" applyAlignment="1" applyProtection="1">
      <alignment horizontal="right"/>
    </xf>
    <xf numFmtId="0" fontId="30" fillId="0" borderId="19" xfId="0" applyFont="1" applyBorder="1" applyAlignment="1" applyProtection="1">
      <alignment horizontal="right"/>
    </xf>
    <xf numFmtId="168" fontId="13" fillId="2" borderId="21" xfId="0" applyNumberFormat="1" applyFont="1" applyFill="1" applyBorder="1" applyAlignment="1" applyProtection="1">
      <alignment horizontal="right"/>
    </xf>
    <xf numFmtId="168" fontId="13" fillId="2" borderId="23" xfId="0" applyNumberFormat="1" applyFont="1" applyFill="1" applyBorder="1" applyAlignment="1" applyProtection="1">
      <alignment horizontal="right"/>
    </xf>
    <xf numFmtId="168" fontId="13" fillId="2" borderId="19" xfId="0" applyNumberFormat="1" applyFont="1" applyFill="1" applyBorder="1" applyAlignment="1" applyProtection="1">
      <alignment horizontal="right"/>
    </xf>
    <xf numFmtId="168" fontId="13" fillId="2" borderId="26" xfId="0" applyNumberFormat="1" applyFont="1" applyFill="1" applyBorder="1" applyAlignment="1" applyProtection="1">
      <alignment horizontal="right"/>
    </xf>
    <xf numFmtId="0" fontId="17" fillId="0" borderId="21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/>
    </xf>
    <xf numFmtId="0" fontId="17" fillId="0" borderId="5" xfId="0" applyFont="1" applyBorder="1" applyAlignment="1" applyProtection="1">
      <alignment horizontal="centerContinuous"/>
    </xf>
    <xf numFmtId="0" fontId="17" fillId="0" borderId="6" xfId="0" applyFont="1" applyBorder="1" applyAlignment="1" applyProtection="1">
      <alignment horizontal="centerContinuous"/>
    </xf>
    <xf numFmtId="0" fontId="13" fillId="0" borderId="12" xfId="0" applyFont="1" applyBorder="1" applyAlignment="1" applyProtection="1">
      <alignment horizontal="right"/>
    </xf>
    <xf numFmtId="0" fontId="14" fillId="0" borderId="12" xfId="0" applyFont="1" applyBorder="1" applyAlignment="1" applyProtection="1">
      <alignment horizontal="right"/>
    </xf>
    <xf numFmtId="0" fontId="13" fillId="0" borderId="27" xfId="0" applyFont="1" applyBorder="1" applyAlignment="1" applyProtection="1">
      <alignment horizontal="centerContinuous"/>
    </xf>
    <xf numFmtId="0" fontId="35" fillId="0" borderId="5" xfId="0" applyFont="1" applyBorder="1" applyAlignment="1" applyProtection="1">
      <alignment horizontal="centerContinuous"/>
    </xf>
    <xf numFmtId="0" fontId="36" fillId="0" borderId="5" xfId="0" applyFont="1" applyBorder="1" applyAlignment="1" applyProtection="1">
      <alignment horizontal="centerContinuous"/>
    </xf>
    <xf numFmtId="0" fontId="35" fillId="0" borderId="10" xfId="0" applyFont="1" applyBorder="1" applyAlignment="1" applyProtection="1">
      <alignment horizontal="left"/>
    </xf>
    <xf numFmtId="0" fontId="35" fillId="0" borderId="6" xfId="0" applyFont="1" applyBorder="1" applyAlignment="1" applyProtection="1">
      <alignment horizontal="right"/>
    </xf>
    <xf numFmtId="0" fontId="35" fillId="0" borderId="10" xfId="0" applyFont="1" applyBorder="1" applyAlignment="1" applyProtection="1">
      <alignment horizontal="right"/>
    </xf>
    <xf numFmtId="0" fontId="35" fillId="0" borderId="28" xfId="0" applyFont="1" applyBorder="1" applyAlignment="1" applyProtection="1">
      <alignment horizontal="left"/>
    </xf>
    <xf numFmtId="0" fontId="35" fillId="0" borderId="10" xfId="0" applyFont="1" applyBorder="1" applyAlignment="1" applyProtection="1">
      <alignment horizontal="center"/>
    </xf>
    <xf numFmtId="0" fontId="35" fillId="0" borderId="6" xfId="0" applyFont="1" applyBorder="1" applyAlignment="1" applyProtection="1">
      <alignment horizontal="center"/>
    </xf>
    <xf numFmtId="0" fontId="1" fillId="0" borderId="0" xfId="0" applyFont="1" applyProtection="1"/>
    <xf numFmtId="0" fontId="13" fillId="0" borderId="21" xfId="0" applyFont="1" applyBorder="1" applyAlignment="1" applyProtection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5" fillId="0" borderId="29" xfId="0" applyFont="1" applyBorder="1" applyAlignment="1" applyProtection="1">
      <alignment horizontal="center"/>
    </xf>
    <xf numFmtId="0" fontId="16" fillId="0" borderId="29" xfId="0" applyFont="1" applyBorder="1" applyAlignment="1" applyProtection="1">
      <alignment horizontal="center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</xf>
    <xf numFmtId="0" fontId="4" fillId="0" borderId="11" xfId="0" applyFont="1" applyBorder="1" applyProtection="1"/>
    <xf numFmtId="0" fontId="13" fillId="0" borderId="9" xfId="0" applyFont="1" applyBorder="1"/>
    <xf numFmtId="0" fontId="17" fillId="0" borderId="8" xfId="0" applyFont="1" applyBorder="1" applyAlignment="1" applyProtection="1">
      <alignment horizontal="left"/>
    </xf>
    <xf numFmtId="165" fontId="6" fillId="0" borderId="0" xfId="0" applyNumberFormat="1" applyFont="1" applyBorder="1" applyProtection="1">
      <protection locked="0"/>
    </xf>
    <xf numFmtId="168" fontId="6" fillId="0" borderId="0" xfId="0" applyNumberFormat="1" applyFont="1" applyBorder="1" applyProtection="1">
      <protection locked="0"/>
    </xf>
    <xf numFmtId="168" fontId="9" fillId="0" borderId="0" xfId="0" applyNumberFormat="1" applyFont="1" applyBorder="1" applyProtection="1"/>
    <xf numFmtId="171" fontId="6" fillId="0" borderId="0" xfId="0" applyNumberFormat="1" applyFont="1" applyBorder="1" applyProtection="1">
      <protection locked="0"/>
    </xf>
    <xf numFmtId="1" fontId="6" fillId="0" borderId="0" xfId="0" applyNumberFormat="1" applyFont="1" applyBorder="1" applyProtection="1">
      <protection locked="0"/>
    </xf>
    <xf numFmtId="168" fontId="4" fillId="0" borderId="0" xfId="0" applyNumberFormat="1" applyFont="1" applyFill="1" applyBorder="1" applyAlignment="1" applyProtection="1">
      <alignment horizontal="right"/>
    </xf>
    <xf numFmtId="0" fontId="14" fillId="0" borderId="29" xfId="0" applyFont="1" applyBorder="1" applyAlignment="1" applyProtection="1">
      <alignment horizontal="center"/>
    </xf>
    <xf numFmtId="165" fontId="24" fillId="0" borderId="1" xfId="0" applyNumberFormat="1" applyFont="1" applyBorder="1" applyAlignment="1" applyProtection="1">
      <alignment horizontal="center"/>
      <protection locked="0"/>
    </xf>
    <xf numFmtId="168" fontId="24" fillId="0" borderId="19" xfId="0" applyNumberFormat="1" applyFont="1" applyBorder="1" applyAlignment="1" applyProtection="1">
      <alignment horizontal="center"/>
      <protection locked="0"/>
    </xf>
    <xf numFmtId="168" fontId="24" fillId="0" borderId="1" xfId="0" applyNumberFormat="1" applyFont="1" applyBorder="1" applyAlignment="1" applyProtection="1">
      <alignment horizontal="center"/>
    </xf>
    <xf numFmtId="0" fontId="35" fillId="0" borderId="0" xfId="0" applyFont="1" applyBorder="1" applyAlignment="1" applyProtection="1">
      <alignment horizontal="centerContinuous"/>
    </xf>
    <xf numFmtId="14" fontId="29" fillId="0" borderId="0" xfId="0" applyNumberFormat="1" applyFont="1" applyAlignment="1" applyProtection="1">
      <alignment horizontal="centerContinuous"/>
    </xf>
    <xf numFmtId="0" fontId="5" fillId="0" borderId="0" xfId="0" applyFont="1" applyBorder="1"/>
    <xf numFmtId="0" fontId="5" fillId="0" borderId="30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8" fontId="9" fillId="0" borderId="29" xfId="0" applyNumberFormat="1" applyFont="1" applyBorder="1" applyProtection="1"/>
    <xf numFmtId="168" fontId="9" fillId="0" borderId="1" xfId="0" applyNumberFormat="1" applyFont="1" applyBorder="1" applyProtection="1"/>
    <xf numFmtId="168" fontId="9" fillId="0" borderId="19" xfId="0" applyNumberFormat="1" applyFont="1" applyBorder="1" applyProtection="1"/>
    <xf numFmtId="168" fontId="9" fillId="0" borderId="13" xfId="0" applyNumberFormat="1" applyFont="1" applyBorder="1" applyProtection="1"/>
    <xf numFmtId="168" fontId="9" fillId="0" borderId="3" xfId="0" applyNumberFormat="1" applyFont="1" applyBorder="1" applyProtection="1"/>
    <xf numFmtId="168" fontId="9" fillId="0" borderId="2" xfId="0" applyNumberFormat="1" applyFont="1" applyBorder="1" applyProtection="1"/>
    <xf numFmtId="168" fontId="9" fillId="0" borderId="31" xfId="0" applyNumberFormat="1" applyFont="1" applyBorder="1" applyProtection="1"/>
    <xf numFmtId="168" fontId="9" fillId="3" borderId="3" xfId="0" applyNumberFormat="1" applyFont="1" applyFill="1" applyBorder="1" applyProtection="1"/>
    <xf numFmtId="168" fontId="4" fillId="2" borderId="32" xfId="0" applyNumberFormat="1" applyFont="1" applyFill="1" applyBorder="1" applyAlignment="1" applyProtection="1">
      <alignment horizontal="right"/>
    </xf>
    <xf numFmtId="168" fontId="9" fillId="3" borderId="1" xfId="0" applyNumberFormat="1" applyFont="1" applyFill="1" applyBorder="1" applyProtection="1"/>
    <xf numFmtId="0" fontId="11" fillId="0" borderId="12" xfId="0" applyFont="1" applyBorder="1"/>
    <xf numFmtId="165" fontId="24" fillId="0" borderId="1" xfId="0" applyNumberFormat="1" applyFont="1" applyBorder="1" applyAlignment="1" applyProtection="1">
      <alignment horizontal="center"/>
    </xf>
    <xf numFmtId="168" fontId="24" fillId="0" borderId="19" xfId="0" applyNumberFormat="1" applyFont="1" applyBorder="1" applyAlignment="1" applyProtection="1">
      <alignment horizontal="center"/>
    </xf>
    <xf numFmtId="178" fontId="29" fillId="0" borderId="23" xfId="0" applyNumberFormat="1" applyFont="1" applyBorder="1" applyProtection="1"/>
    <xf numFmtId="178" fontId="29" fillId="0" borderId="19" xfId="0" applyNumberFormat="1" applyFont="1" applyBorder="1" applyProtection="1"/>
    <xf numFmtId="178" fontId="29" fillId="0" borderId="3" xfId="0" applyNumberFormat="1" applyFont="1" applyBorder="1" applyProtection="1"/>
    <xf numFmtId="178" fontId="29" fillId="0" borderId="1" xfId="0" applyNumberFormat="1" applyFont="1" applyBorder="1" applyProtection="1"/>
    <xf numFmtId="0" fontId="1" fillId="0" borderId="28" xfId="0" applyFont="1" applyBorder="1" applyProtection="1"/>
    <xf numFmtId="0" fontId="11" fillId="0" borderId="0" xfId="0" applyFont="1" applyBorder="1"/>
    <xf numFmtId="178" fontId="29" fillId="0" borderId="12" xfId="0" applyNumberFormat="1" applyFont="1" applyBorder="1" applyProtection="1"/>
    <xf numFmtId="180" fontId="29" fillId="0" borderId="6" xfId="0" applyNumberFormat="1" applyFont="1" applyBorder="1" applyAlignment="1" applyProtection="1">
      <alignment horizontal="right"/>
    </xf>
    <xf numFmtId="0" fontId="13" fillId="0" borderId="10" xfId="0" applyFont="1" applyBorder="1" applyAlignment="1" applyProtection="1">
      <alignment horizontal="left"/>
    </xf>
    <xf numFmtId="179" fontId="29" fillId="0" borderId="12" xfId="0" applyNumberFormat="1" applyFont="1" applyBorder="1" applyProtection="1"/>
    <xf numFmtId="179" fontId="29" fillId="0" borderId="1" xfId="0" applyNumberFormat="1" applyFont="1" applyBorder="1" applyProtection="1"/>
    <xf numFmtId="179" fontId="29" fillId="0" borderId="3" xfId="0" applyNumberFormat="1" applyFont="1" applyBorder="1" applyProtection="1"/>
    <xf numFmtId="180" fontId="29" fillId="0" borderId="30" xfId="0" applyNumberFormat="1" applyFont="1" applyBorder="1" applyAlignment="1" applyProtection="1">
      <alignment horizontal="right"/>
    </xf>
    <xf numFmtId="180" fontId="29" fillId="0" borderId="33" xfId="0" applyNumberFormat="1" applyFont="1" applyBorder="1" applyAlignment="1" applyProtection="1">
      <alignment horizontal="right"/>
    </xf>
    <xf numFmtId="180" fontId="29" fillId="0" borderId="34" xfId="0" applyNumberFormat="1" applyFont="1" applyBorder="1" applyAlignment="1" applyProtection="1">
      <alignment horizontal="right"/>
    </xf>
    <xf numFmtId="180" fontId="29" fillId="0" borderId="14" xfId="0" applyNumberFormat="1" applyFont="1" applyBorder="1" applyAlignment="1" applyProtection="1">
      <alignment horizontal="right"/>
    </xf>
    <xf numFmtId="180" fontId="29" fillId="0" borderId="35" xfId="0" applyNumberFormat="1" applyFont="1" applyBorder="1" applyAlignment="1" applyProtection="1">
      <alignment horizontal="right"/>
    </xf>
    <xf numFmtId="168" fontId="24" fillId="0" borderId="29" xfId="0" applyNumberFormat="1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5" fillId="0" borderId="5" xfId="0" applyFont="1" applyBorder="1"/>
    <xf numFmtId="0" fontId="5" fillId="0" borderId="4" xfId="0" applyFont="1" applyBorder="1"/>
    <xf numFmtId="0" fontId="28" fillId="0" borderId="0" xfId="0" applyFont="1" applyBorder="1"/>
    <xf numFmtId="0" fontId="28" fillId="0" borderId="4" xfId="0" applyFont="1" applyBorder="1"/>
    <xf numFmtId="0" fontId="32" fillId="0" borderId="8" xfId="0" applyFont="1" applyBorder="1"/>
    <xf numFmtId="0" fontId="32" fillId="0" borderId="0" xfId="0" applyFont="1" applyBorder="1"/>
    <xf numFmtId="168" fontId="38" fillId="0" borderId="3" xfId="0" applyNumberFormat="1" applyFont="1" applyBorder="1" applyProtection="1"/>
    <xf numFmtId="168" fontId="38" fillId="0" borderId="16" xfId="0" applyNumberFormat="1" applyFont="1" applyBorder="1" applyProtection="1"/>
    <xf numFmtId="168" fontId="38" fillId="0" borderId="6" xfId="0" applyNumberFormat="1" applyFont="1" applyBorder="1" applyProtection="1"/>
    <xf numFmtId="171" fontId="38" fillId="0" borderId="12" xfId="0" applyNumberFormat="1" applyFont="1" applyBorder="1" applyProtection="1"/>
    <xf numFmtId="176" fontId="38" fillId="0" borderId="1" xfId="0" applyNumberFormat="1" applyFont="1" applyBorder="1" applyProtection="1"/>
    <xf numFmtId="0" fontId="31" fillId="0" borderId="20" xfId="0" applyFont="1" applyBorder="1" applyAlignment="1" applyProtection="1">
      <alignment horizontal="right"/>
    </xf>
    <xf numFmtId="0" fontId="39" fillId="0" borderId="7" xfId="0" applyFont="1" applyBorder="1" applyAlignment="1" applyProtection="1">
      <alignment horizontal="right"/>
    </xf>
    <xf numFmtId="0" fontId="31" fillId="0" borderId="7" xfId="0" applyFont="1" applyBorder="1" applyAlignment="1" applyProtection="1">
      <alignment horizontal="right"/>
    </xf>
    <xf numFmtId="0" fontId="27" fillId="0" borderId="0" xfId="0" applyFont="1" applyBorder="1" applyAlignment="1" applyProtection="1">
      <alignment horizontal="center"/>
    </xf>
    <xf numFmtId="1" fontId="27" fillId="0" borderId="0" xfId="0" applyNumberFormat="1" applyFont="1" applyBorder="1" applyProtection="1"/>
    <xf numFmtId="165" fontId="27" fillId="0" borderId="0" xfId="0" applyNumberFormat="1" applyFont="1" applyBorder="1" applyProtection="1"/>
    <xf numFmtId="165" fontId="27" fillId="0" borderId="0" xfId="0" applyNumberFormat="1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center"/>
    </xf>
    <xf numFmtId="1" fontId="9" fillId="0" borderId="0" xfId="0" applyNumberFormat="1" applyFont="1" applyBorder="1" applyAlignment="1" applyProtection="1">
      <alignment horizontal="center"/>
    </xf>
    <xf numFmtId="178" fontId="32" fillId="0" borderId="9" xfId="0" applyNumberFormat="1" applyFont="1" applyBorder="1" applyProtection="1"/>
    <xf numFmtId="0" fontId="11" fillId="0" borderId="8" xfId="0" applyFont="1" applyBorder="1"/>
    <xf numFmtId="178" fontId="32" fillId="0" borderId="8" xfId="0" applyNumberFormat="1" applyFont="1" applyBorder="1" applyProtection="1"/>
    <xf numFmtId="0" fontId="32" fillId="0" borderId="30" xfId="0" applyFont="1" applyBorder="1"/>
    <xf numFmtId="0" fontId="28" fillId="0" borderId="5" xfId="0" applyFont="1" applyBorder="1"/>
    <xf numFmtId="0" fontId="4" fillId="0" borderId="12" xfId="0" applyFont="1" applyBorder="1" applyAlignment="1" applyProtection="1">
      <alignment horizontal="centerContinuous"/>
    </xf>
    <xf numFmtId="181" fontId="29" fillId="0" borderId="12" xfId="0" applyNumberFormat="1" applyFont="1" applyBorder="1" applyProtection="1"/>
    <xf numFmtId="0" fontId="4" fillId="0" borderId="0" xfId="0" applyFont="1" applyAlignment="1">
      <alignment horizontal="left"/>
    </xf>
    <xf numFmtId="183" fontId="29" fillId="0" borderId="12" xfId="0" applyNumberFormat="1" applyFont="1" applyBorder="1" applyProtection="1"/>
    <xf numFmtId="183" fontId="29" fillId="0" borderId="1" xfId="0" applyNumberFormat="1" applyFont="1" applyBorder="1" applyProtection="1"/>
    <xf numFmtId="0" fontId="28" fillId="0" borderId="0" xfId="0" applyFont="1" applyFill="1" applyBorder="1"/>
    <xf numFmtId="0" fontId="13" fillId="0" borderId="0" xfId="0" applyFont="1" applyFill="1" applyBorder="1" applyAlignment="1" applyProtection="1">
      <alignment horizontal="left"/>
    </xf>
    <xf numFmtId="168" fontId="13" fillId="0" borderId="0" xfId="0" applyNumberFormat="1" applyFont="1" applyFill="1" applyBorder="1" applyAlignment="1" applyProtection="1">
      <alignment horizontal="right"/>
    </xf>
    <xf numFmtId="178" fontId="29" fillId="0" borderId="6" xfId="0" applyNumberFormat="1" applyFont="1" applyBorder="1" applyProtection="1"/>
    <xf numFmtId="0" fontId="13" fillId="0" borderId="8" xfId="0" applyFont="1" applyBorder="1" applyAlignment="1" applyProtection="1">
      <alignment horizontal="right"/>
    </xf>
    <xf numFmtId="171" fontId="38" fillId="0" borderId="12" xfId="0" applyNumberFormat="1" applyFont="1" applyBorder="1"/>
    <xf numFmtId="171" fontId="38" fillId="0" borderId="3" xfId="0" applyNumberFormat="1" applyFont="1" applyBorder="1"/>
    <xf numFmtId="0" fontId="4" fillId="0" borderId="0" xfId="0" applyFont="1" applyBorder="1" applyProtection="1">
      <protection locked="0"/>
    </xf>
    <xf numFmtId="0" fontId="6" fillId="0" borderId="0" xfId="0" applyFont="1" applyBorder="1" applyAlignment="1" applyProtection="1">
      <alignment horizontal="fill"/>
      <protection locked="0"/>
    </xf>
    <xf numFmtId="1" fontId="16" fillId="0" borderId="36" xfId="0" applyNumberFormat="1" applyFont="1" applyBorder="1" applyAlignment="1" applyProtection="1">
      <alignment horizontal="center"/>
    </xf>
    <xf numFmtId="0" fontId="5" fillId="0" borderId="8" xfId="0" applyFont="1" applyBorder="1" applyAlignment="1">
      <alignment horizontal="right"/>
    </xf>
    <xf numFmtId="171" fontId="32" fillId="0" borderId="8" xfId="0" applyNumberFormat="1" applyFont="1" applyBorder="1" applyAlignment="1" applyProtection="1">
      <alignment horizontal="right"/>
    </xf>
    <xf numFmtId="184" fontId="29" fillId="0" borderId="12" xfId="0" applyNumberFormat="1" applyFont="1" applyBorder="1" applyAlignment="1" applyProtection="1">
      <alignment horizontal="right"/>
    </xf>
    <xf numFmtId="178" fontId="29" fillId="0" borderId="12" xfId="0" applyNumberFormat="1" applyFont="1" applyBorder="1" applyAlignment="1" applyProtection="1">
      <alignment horizontal="right"/>
    </xf>
    <xf numFmtId="0" fontId="5" fillId="0" borderId="9" xfId="0" applyFont="1" applyBorder="1"/>
    <xf numFmtId="0" fontId="5" fillId="0" borderId="1" xfId="0" applyFont="1" applyBorder="1"/>
    <xf numFmtId="168" fontId="32" fillId="0" borderId="9" xfId="0" applyNumberFormat="1" applyFont="1" applyBorder="1" applyAlignment="1" applyProtection="1">
      <alignment horizontal="right"/>
    </xf>
    <xf numFmtId="0" fontId="4" fillId="0" borderId="8" xfId="0" applyFont="1" applyBorder="1" applyAlignment="1" applyProtection="1">
      <alignment horizontal="right"/>
    </xf>
    <xf numFmtId="168" fontId="32" fillId="0" borderId="1" xfId="0" applyNumberFormat="1" applyFont="1" applyBorder="1" applyAlignment="1" applyProtection="1">
      <alignment horizontal="right"/>
    </xf>
    <xf numFmtId="179" fontId="29" fillId="0" borderId="0" xfId="0" applyNumberFormat="1" applyFont="1" applyBorder="1" applyProtection="1"/>
    <xf numFmtId="186" fontId="29" fillId="0" borderId="12" xfId="0" applyNumberFormat="1" applyFont="1" applyBorder="1" applyAlignment="1" applyProtection="1">
      <alignment horizontal="right"/>
    </xf>
    <xf numFmtId="184" fontId="29" fillId="0" borderId="1" xfId="0" applyNumberFormat="1" applyFont="1" applyBorder="1" applyAlignment="1" applyProtection="1">
      <alignment horizontal="right"/>
    </xf>
    <xf numFmtId="182" fontId="38" fillId="0" borderId="12" xfId="0" applyNumberFormat="1" applyFont="1" applyBorder="1"/>
    <xf numFmtId="168" fontId="29" fillId="0" borderId="12" xfId="0" applyNumberFormat="1" applyFont="1" applyBorder="1" applyAlignment="1" applyProtection="1">
      <alignment horizontal="right"/>
    </xf>
    <xf numFmtId="0" fontId="4" fillId="0" borderId="9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172" fontId="29" fillId="0" borderId="12" xfId="0" applyNumberFormat="1" applyFont="1" applyBorder="1" applyProtection="1"/>
    <xf numFmtId="172" fontId="29" fillId="0" borderId="3" xfId="0" applyNumberFormat="1" applyFont="1" applyBorder="1" applyProtection="1"/>
    <xf numFmtId="172" fontId="29" fillId="0" borderId="21" xfId="0" applyNumberFormat="1" applyFont="1" applyBorder="1" applyProtection="1"/>
    <xf numFmtId="172" fontId="29" fillId="0" borderId="23" xfId="0" applyNumberFormat="1" applyFont="1" applyBorder="1" applyProtection="1"/>
    <xf numFmtId="0" fontId="30" fillId="0" borderId="37" xfId="0" applyFont="1" applyBorder="1" applyAlignment="1" applyProtection="1">
      <alignment horizontal="right"/>
    </xf>
    <xf numFmtId="0" fontId="35" fillId="0" borderId="12" xfId="0" applyFont="1" applyBorder="1" applyAlignment="1" applyProtection="1">
      <alignment horizontal="center"/>
    </xf>
    <xf numFmtId="0" fontId="1" fillId="0" borderId="0" xfId="0" applyFont="1" applyBorder="1" applyProtection="1"/>
    <xf numFmtId="0" fontId="14" fillId="0" borderId="12" xfId="0" applyFont="1" applyBorder="1" applyAlignment="1" applyProtection="1">
      <alignment horizontal="center"/>
    </xf>
    <xf numFmtId="0" fontId="35" fillId="0" borderId="10" xfId="0" applyFont="1" applyBorder="1" applyAlignment="1" applyProtection="1">
      <alignment horizontal="centerContinuous"/>
    </xf>
    <xf numFmtId="172" fontId="29" fillId="0" borderId="11" xfId="0" applyNumberFormat="1" applyFont="1" applyBorder="1" applyProtection="1"/>
    <xf numFmtId="168" fontId="29" fillId="0" borderId="29" xfId="0" applyNumberFormat="1" applyFont="1" applyBorder="1" applyProtection="1"/>
    <xf numFmtId="168" fontId="29" fillId="0" borderId="25" xfId="0" applyNumberFormat="1" applyFont="1" applyBorder="1" applyProtection="1"/>
    <xf numFmtId="172" fontId="29" fillId="0" borderId="4" xfId="0" applyNumberFormat="1" applyFont="1" applyBorder="1" applyProtection="1"/>
    <xf numFmtId="168" fontId="13" fillId="2" borderId="2" xfId="0" applyNumberFormat="1" applyFont="1" applyFill="1" applyBorder="1" applyAlignment="1" applyProtection="1">
      <alignment horizontal="right"/>
    </xf>
    <xf numFmtId="172" fontId="29" fillId="0" borderId="25" xfId="0" applyNumberFormat="1" applyFont="1" applyBorder="1" applyProtection="1"/>
    <xf numFmtId="168" fontId="13" fillId="2" borderId="29" xfId="0" applyNumberFormat="1" applyFont="1" applyFill="1" applyBorder="1" applyAlignment="1" applyProtection="1">
      <alignment horizontal="right"/>
    </xf>
    <xf numFmtId="168" fontId="29" fillId="0" borderId="27" xfId="0" applyNumberFormat="1" applyFont="1" applyBorder="1" applyProtection="1"/>
    <xf numFmtId="172" fontId="29" fillId="0" borderId="5" xfId="0" applyNumberFormat="1" applyFont="1" applyBorder="1" applyProtection="1"/>
    <xf numFmtId="168" fontId="13" fillId="2" borderId="27" xfId="0" applyNumberFormat="1" applyFont="1" applyFill="1" applyBorder="1" applyAlignment="1" applyProtection="1">
      <alignment horizontal="right"/>
    </xf>
    <xf numFmtId="168" fontId="13" fillId="2" borderId="6" xfId="0" applyNumberFormat="1" applyFont="1" applyFill="1" applyBorder="1" applyAlignment="1" applyProtection="1">
      <alignment horizontal="right"/>
    </xf>
    <xf numFmtId="172" fontId="29" fillId="0" borderId="33" xfId="0" applyNumberFormat="1" applyFont="1" applyBorder="1" applyProtection="1"/>
    <xf numFmtId="172" fontId="29" fillId="0" borderId="38" xfId="0" applyNumberFormat="1" applyFont="1" applyBorder="1" applyProtection="1"/>
    <xf numFmtId="168" fontId="13" fillId="2" borderId="10" xfId="0" applyNumberFormat="1" applyFont="1" applyFill="1" applyBorder="1" applyAlignment="1" applyProtection="1">
      <alignment horizontal="right"/>
    </xf>
    <xf numFmtId="0" fontId="36" fillId="0" borderId="8" xfId="0" applyFont="1" applyBorder="1"/>
    <xf numFmtId="0" fontId="31" fillId="0" borderId="0" xfId="0" applyFont="1" applyBorder="1" applyAlignment="1"/>
    <xf numFmtId="168" fontId="38" fillId="0" borderId="0" xfId="0" applyNumberFormat="1" applyFont="1" applyBorder="1"/>
    <xf numFmtId="0" fontId="36" fillId="0" borderId="30" xfId="0" applyFont="1" applyBorder="1"/>
    <xf numFmtId="0" fontId="7" fillId="0" borderId="0" xfId="0" applyFont="1" applyFill="1" applyBorder="1" applyAlignment="1" applyProtection="1"/>
    <xf numFmtId="0" fontId="7" fillId="0" borderId="0" xfId="0" applyFont="1" applyBorder="1" applyAlignment="1"/>
    <xf numFmtId="0" fontId="13" fillId="0" borderId="39" xfId="0" applyFont="1" applyBorder="1" applyAlignment="1" applyProtection="1">
      <alignment horizontal="left"/>
    </xf>
    <xf numFmtId="0" fontId="4" fillId="0" borderId="40" xfId="0" applyFont="1" applyBorder="1" applyProtection="1"/>
    <xf numFmtId="168" fontId="29" fillId="0" borderId="16" xfId="0" applyNumberFormat="1" applyFont="1" applyBorder="1" applyProtection="1"/>
    <xf numFmtId="0" fontId="13" fillId="0" borderId="41" xfId="0" applyFont="1" applyBorder="1" applyAlignment="1" applyProtection="1">
      <alignment horizontal="left"/>
    </xf>
    <xf numFmtId="0" fontId="4" fillId="0" borderId="42" xfId="0" applyFont="1" applyBorder="1" applyProtection="1"/>
    <xf numFmtId="0" fontId="31" fillId="0" borderId="5" xfId="0" applyFont="1" applyBorder="1" applyAlignment="1" applyProtection="1">
      <alignment horizontal="center"/>
    </xf>
    <xf numFmtId="0" fontId="35" fillId="0" borderId="5" xfId="0" applyFont="1" applyBorder="1" applyAlignment="1" applyProtection="1">
      <alignment horizontal="center"/>
    </xf>
    <xf numFmtId="0" fontId="36" fillId="0" borderId="6" xfId="0" applyFont="1" applyBorder="1"/>
    <xf numFmtId="0" fontId="35" fillId="0" borderId="0" xfId="0" applyFont="1" applyBorder="1" applyAlignment="1" applyProtection="1">
      <alignment horizontal="center"/>
    </xf>
    <xf numFmtId="0" fontId="36" fillId="0" borderId="12" xfId="0" applyFont="1" applyBorder="1"/>
    <xf numFmtId="0" fontId="13" fillId="0" borderId="5" xfId="0" applyFont="1" applyBorder="1" applyAlignment="1" applyProtection="1">
      <alignment horizontal="center"/>
    </xf>
    <xf numFmtId="0" fontId="13" fillId="0" borderId="6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Continuous"/>
    </xf>
    <xf numFmtId="0" fontId="31" fillId="0" borderId="30" xfId="0" applyFont="1" applyBorder="1" applyAlignment="1" applyProtection="1">
      <alignment horizontal="right"/>
    </xf>
    <xf numFmtId="1" fontId="31" fillId="0" borderId="5" xfId="0" applyNumberFormat="1" applyFont="1" applyBorder="1" applyAlignment="1" applyProtection="1">
      <alignment horizontal="center"/>
    </xf>
    <xf numFmtId="166" fontId="31" fillId="0" borderId="6" xfId="0" applyNumberFormat="1" applyFont="1" applyBorder="1" applyAlignment="1">
      <alignment horizontal="center"/>
    </xf>
    <xf numFmtId="0" fontId="13" fillId="0" borderId="30" xfId="0" applyFont="1" applyBorder="1" applyAlignment="1" applyProtection="1">
      <alignment horizontal="left"/>
    </xf>
    <xf numFmtId="0" fontId="5" fillId="0" borderId="6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" xfId="0" applyFont="1" applyBorder="1" applyProtection="1">
      <protection locked="0"/>
    </xf>
    <xf numFmtId="168" fontId="29" fillId="0" borderId="6" xfId="0" applyNumberFormat="1" applyFont="1" applyBorder="1" applyProtection="1"/>
    <xf numFmtId="168" fontId="29" fillId="0" borderId="1" xfId="0" applyNumberFormat="1" applyFont="1" applyBorder="1" applyProtection="1"/>
    <xf numFmtId="0" fontId="31" fillId="0" borderId="0" xfId="0" applyFont="1" applyFill="1" applyBorder="1" applyAlignment="1" applyProtection="1"/>
    <xf numFmtId="2" fontId="29" fillId="0" borderId="6" xfId="0" applyNumberFormat="1" applyFont="1" applyBorder="1" applyProtection="1"/>
    <xf numFmtId="2" fontId="29" fillId="0" borderId="12" xfId="0" applyNumberFormat="1" applyFont="1" applyBorder="1" applyProtection="1"/>
    <xf numFmtId="0" fontId="21" fillId="0" borderId="9" xfId="0" applyFont="1" applyFill="1" applyBorder="1" applyAlignment="1" applyProtection="1">
      <alignment horizontal="left"/>
    </xf>
    <xf numFmtId="0" fontId="21" fillId="0" borderId="4" xfId="0" applyFont="1" applyBorder="1"/>
    <xf numFmtId="178" fontId="21" fillId="0" borderId="1" xfId="0" applyNumberFormat="1" applyFont="1" applyBorder="1"/>
    <xf numFmtId="0" fontId="21" fillId="0" borderId="9" xfId="0" applyFont="1" applyBorder="1"/>
    <xf numFmtId="0" fontId="44" fillId="0" borderId="0" xfId="0" applyFont="1" applyAlignment="1" applyProtection="1">
      <alignment horizontal="center"/>
    </xf>
    <xf numFmtId="0" fontId="42" fillId="0" borderId="0" xfId="0" applyFont="1" applyAlignment="1" applyProtection="1"/>
    <xf numFmtId="0" fontId="35" fillId="0" borderId="27" xfId="0" applyFont="1" applyBorder="1" applyAlignment="1" applyProtection="1">
      <alignment horizontal="center"/>
    </xf>
    <xf numFmtId="1" fontId="27" fillId="0" borderId="19" xfId="0" applyNumberFormat="1" applyFont="1" applyBorder="1" applyAlignment="1" applyProtection="1">
      <alignment horizontal="center"/>
    </xf>
    <xf numFmtId="187" fontId="27" fillId="0" borderId="19" xfId="0" applyNumberFormat="1" applyFont="1" applyBorder="1" applyAlignment="1" applyProtection="1">
      <alignment horizontal="center"/>
    </xf>
    <xf numFmtId="187" fontId="27" fillId="0" borderId="4" xfId="0" applyNumberFormat="1" applyFont="1" applyBorder="1" applyAlignment="1" applyProtection="1">
      <alignment horizontal="center"/>
    </xf>
    <xf numFmtId="165" fontId="27" fillId="0" borderId="2" xfId="0" applyNumberFormat="1" applyFont="1" applyBorder="1" applyAlignment="1" applyProtection="1">
      <alignment horizontal="center"/>
    </xf>
    <xf numFmtId="176" fontId="45" fillId="0" borderId="6" xfId="0" applyNumberFormat="1" applyFont="1" applyBorder="1"/>
    <xf numFmtId="176" fontId="45" fillId="0" borderId="12" xfId="0" applyNumberFormat="1" applyFont="1" applyBorder="1"/>
    <xf numFmtId="0" fontId="0" fillId="0" borderId="0" xfId="0" applyAlignment="1">
      <alignment horizontal="center"/>
    </xf>
    <xf numFmtId="0" fontId="5" fillId="0" borderId="0" xfId="0" applyFont="1" applyProtection="1"/>
    <xf numFmtId="0" fontId="11" fillId="0" borderId="0" xfId="0" applyFont="1" applyProtection="1"/>
    <xf numFmtId="0" fontId="0" fillId="0" borderId="0" xfId="0" applyAlignment="1" applyProtection="1">
      <alignment horizontal="centerContinuous"/>
    </xf>
    <xf numFmtId="0" fontId="0" fillId="0" borderId="0" xfId="0" applyProtection="1"/>
    <xf numFmtId="0" fontId="18" fillId="0" borderId="0" xfId="0" applyFont="1" applyAlignment="1" applyProtection="1">
      <alignment horizontal="left"/>
    </xf>
    <xf numFmtId="0" fontId="6" fillId="0" borderId="0" xfId="0" applyFont="1" applyBorder="1" applyProtection="1"/>
    <xf numFmtId="166" fontId="6" fillId="0" borderId="0" xfId="0" applyNumberFormat="1" applyFont="1" applyBorder="1" applyAlignment="1" applyProtection="1">
      <alignment horizontal="center"/>
    </xf>
    <xf numFmtId="175" fontId="4" fillId="0" borderId="0" xfId="0" applyNumberFormat="1" applyFont="1" applyBorder="1" applyProtection="1"/>
    <xf numFmtId="0" fontId="33" fillId="0" borderId="0" xfId="0" applyFont="1" applyProtection="1"/>
    <xf numFmtId="0" fontId="0" fillId="0" borderId="0" xfId="0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4" fillId="0" borderId="43" xfId="0" applyFont="1" applyBorder="1" applyProtection="1"/>
    <xf numFmtId="0" fontId="4" fillId="0" borderId="7" xfId="0" applyFont="1" applyBorder="1" applyProtection="1"/>
    <xf numFmtId="0" fontId="14" fillId="0" borderId="10" xfId="0" applyFont="1" applyFill="1" applyBorder="1" applyAlignment="1" applyProtection="1">
      <alignment horizontal="center"/>
    </xf>
    <xf numFmtId="2" fontId="9" fillId="0" borderId="12" xfId="0" applyNumberFormat="1" applyFont="1" applyBorder="1" applyProtection="1"/>
    <xf numFmtId="2" fontId="9" fillId="0" borderId="44" xfId="0" applyNumberFormat="1" applyFont="1" applyBorder="1" applyProtection="1"/>
    <xf numFmtId="2" fontId="9" fillId="0" borderId="45" xfId="0" applyNumberFormat="1" applyFont="1" applyBorder="1" applyProtection="1"/>
    <xf numFmtId="2" fontId="6" fillId="0" borderId="23" xfId="0" applyNumberFormat="1" applyFont="1" applyBorder="1" applyProtection="1">
      <protection locked="0"/>
    </xf>
    <xf numFmtId="2" fontId="6" fillId="0" borderId="3" xfId="0" applyNumberFormat="1" applyFont="1" applyBorder="1" applyProtection="1">
      <protection locked="0"/>
    </xf>
    <xf numFmtId="2" fontId="6" fillId="0" borderId="1" xfId="0" applyNumberFormat="1" applyFont="1" applyBorder="1" applyProtection="1">
      <protection locked="0"/>
    </xf>
    <xf numFmtId="2" fontId="9" fillId="0" borderId="0" xfId="0" applyNumberFormat="1" applyFont="1" applyBorder="1" applyProtection="1"/>
    <xf numFmtId="2" fontId="9" fillId="0" borderId="32" xfId="0" applyNumberFormat="1" applyFont="1" applyBorder="1" applyProtection="1"/>
    <xf numFmtId="185" fontId="5" fillId="0" borderId="30" xfId="0" applyNumberFormat="1" applyFont="1" applyBorder="1"/>
    <xf numFmtId="0" fontId="7" fillId="0" borderId="6" xfId="0" applyFont="1" applyBorder="1" applyAlignment="1" applyProtection="1"/>
    <xf numFmtId="2" fontId="9" fillId="0" borderId="22" xfId="0" applyNumberFormat="1" applyFont="1" applyBorder="1" applyProtection="1"/>
    <xf numFmtId="2" fontId="6" fillId="0" borderId="47" xfId="0" applyNumberFormat="1" applyFont="1" applyBorder="1" applyProtection="1">
      <protection locked="0"/>
    </xf>
    <xf numFmtId="2" fontId="6" fillId="0" borderId="48" xfId="0" applyNumberFormat="1" applyFont="1" applyBorder="1" applyProtection="1">
      <protection locked="0"/>
    </xf>
    <xf numFmtId="2" fontId="6" fillId="0" borderId="19" xfId="0" applyNumberFormat="1" applyFont="1" applyBorder="1" applyProtection="1">
      <protection locked="0"/>
    </xf>
    <xf numFmtId="2" fontId="6" fillId="0" borderId="49" xfId="0" applyNumberFormat="1" applyFont="1" applyBorder="1" applyProtection="1">
      <protection locked="0"/>
    </xf>
    <xf numFmtId="2" fontId="6" fillId="0" borderId="29" xfId="0" applyNumberFormat="1" applyFont="1" applyBorder="1" applyProtection="1">
      <protection locked="0"/>
    </xf>
    <xf numFmtId="2" fontId="6" fillId="0" borderId="21" xfId="0" applyNumberFormat="1" applyFont="1" applyBorder="1" applyProtection="1">
      <protection locked="0"/>
    </xf>
    <xf numFmtId="168" fontId="4" fillId="2" borderId="12" xfId="0" applyNumberFormat="1" applyFont="1" applyFill="1" applyBorder="1" applyAlignment="1" applyProtection="1">
      <alignment horizontal="right"/>
    </xf>
    <xf numFmtId="168" fontId="4" fillId="2" borderId="1" xfId="0" applyNumberFormat="1" applyFont="1" applyFill="1" applyBorder="1" applyAlignment="1" applyProtection="1">
      <alignment horizontal="right"/>
    </xf>
    <xf numFmtId="168" fontId="4" fillId="2" borderId="6" xfId="0" applyNumberFormat="1" applyFont="1" applyFill="1" applyBorder="1" applyAlignment="1" applyProtection="1">
      <alignment horizontal="right"/>
    </xf>
    <xf numFmtId="0" fontId="4" fillId="0" borderId="42" xfId="0" applyFont="1" applyBorder="1" applyAlignment="1" applyProtection="1">
      <alignment horizontal="left"/>
    </xf>
    <xf numFmtId="0" fontId="4" fillId="0" borderId="40" xfId="0" applyFont="1" applyBorder="1" applyAlignment="1" applyProtection="1">
      <alignment horizontal="left"/>
    </xf>
    <xf numFmtId="168" fontId="9" fillId="0" borderId="0" xfId="0" applyNumberFormat="1" applyFont="1" applyBorder="1" applyAlignment="1" applyProtection="1">
      <alignment horizontal="right"/>
    </xf>
    <xf numFmtId="0" fontId="11" fillId="0" borderId="0" xfId="0" applyFont="1" applyBorder="1" applyAlignment="1" applyProtection="1">
      <alignment horizontal="right"/>
    </xf>
    <xf numFmtId="169" fontId="6" fillId="0" borderId="0" xfId="0" applyNumberFormat="1" applyFont="1" applyBorder="1" applyProtection="1"/>
    <xf numFmtId="174" fontId="6" fillId="0" borderId="0" xfId="0" applyNumberFormat="1" applyFont="1" applyBorder="1" applyProtection="1"/>
    <xf numFmtId="172" fontId="6" fillId="0" borderId="0" xfId="0" applyNumberFormat="1" applyFont="1" applyBorder="1" applyAlignment="1" applyProtection="1">
      <alignment horizontal="center"/>
    </xf>
    <xf numFmtId="175" fontId="6" fillId="0" borderId="0" xfId="0" applyNumberFormat="1" applyFont="1" applyBorder="1" applyProtection="1"/>
    <xf numFmtId="177" fontId="6" fillId="0" borderId="0" xfId="0" applyNumberFormat="1" applyFont="1" applyBorder="1" applyProtection="1"/>
    <xf numFmtId="0" fontId="4" fillId="0" borderId="5" xfId="0" applyFont="1" applyBorder="1" applyAlignment="1" applyProtection="1">
      <alignment horizontal="left"/>
    </xf>
    <xf numFmtId="0" fontId="6" fillId="0" borderId="5" xfId="0" applyFont="1" applyBorder="1" applyAlignment="1" applyProtection="1">
      <alignment horizontal="right"/>
    </xf>
    <xf numFmtId="0" fontId="24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centerContinuous"/>
    </xf>
    <xf numFmtId="0" fontId="14" fillId="0" borderId="0" xfId="0" applyFont="1" applyBorder="1" applyAlignment="1" applyProtection="1">
      <alignment horizontal="fill"/>
    </xf>
    <xf numFmtId="171" fontId="6" fillId="0" borderId="28" xfId="0" applyNumberFormat="1" applyFont="1" applyBorder="1" applyProtection="1"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4" fillId="0" borderId="52" xfId="0" applyFont="1" applyBorder="1" applyAlignment="1" applyProtection="1">
      <alignment horizontal="left"/>
    </xf>
    <xf numFmtId="0" fontId="4" fillId="0" borderId="52" xfId="0" applyFont="1" applyBorder="1" applyAlignment="1" applyProtection="1">
      <alignment horizontal="center"/>
    </xf>
    <xf numFmtId="169" fontId="6" fillId="0" borderId="52" xfId="0" applyNumberFormat="1" applyFont="1" applyBorder="1" applyProtection="1"/>
    <xf numFmtId="0" fontId="6" fillId="0" borderId="52" xfId="0" applyFont="1" applyBorder="1" applyProtection="1"/>
    <xf numFmtId="0" fontId="6" fillId="0" borderId="12" xfId="0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"/>
    </xf>
    <xf numFmtId="1" fontId="10" fillId="0" borderId="21" xfId="0" applyNumberFormat="1" applyFont="1" applyBorder="1" applyAlignment="1" applyProtection="1">
      <alignment horizontal="center"/>
      <protection locked="0"/>
    </xf>
    <xf numFmtId="165" fontId="27" fillId="0" borderId="12" xfId="0" applyNumberFormat="1" applyFont="1" applyBorder="1" applyAlignment="1" applyProtection="1">
      <alignment horizontal="center"/>
    </xf>
    <xf numFmtId="1" fontId="6" fillId="0" borderId="12" xfId="0" applyNumberFormat="1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Protection="1"/>
    <xf numFmtId="169" fontId="23" fillId="0" borderId="5" xfId="0" applyNumberFormat="1" applyFont="1" applyBorder="1" applyProtection="1"/>
    <xf numFmtId="0" fontId="23" fillId="0" borderId="5" xfId="0" applyFont="1" applyBorder="1" applyProtection="1"/>
    <xf numFmtId="174" fontId="23" fillId="0" borderId="5" xfId="0" applyNumberFormat="1" applyFont="1" applyBorder="1" applyProtection="1"/>
    <xf numFmtId="172" fontId="23" fillId="0" borderId="5" xfId="0" applyNumberFormat="1" applyFont="1" applyBorder="1" applyAlignment="1" applyProtection="1">
      <alignment horizontal="center"/>
    </xf>
    <xf numFmtId="2" fontId="6" fillId="0" borderId="1" xfId="0" applyNumberFormat="1" applyFont="1" applyBorder="1" applyProtection="1"/>
    <xf numFmtId="1" fontId="47" fillId="0" borderId="12" xfId="0" applyNumberFormat="1" applyFont="1" applyBorder="1" applyProtection="1">
      <protection locked="0"/>
    </xf>
    <xf numFmtId="171" fontId="47" fillId="0" borderId="12" xfId="0" applyNumberFormat="1" applyFont="1" applyBorder="1" applyProtection="1"/>
    <xf numFmtId="0" fontId="47" fillId="0" borderId="12" xfId="0" applyFont="1" applyBorder="1" applyProtection="1"/>
    <xf numFmtId="168" fontId="6" fillId="0" borderId="23" xfId="0" applyNumberFormat="1" applyFont="1" applyBorder="1" applyProtection="1">
      <protection locked="0"/>
    </xf>
    <xf numFmtId="168" fontId="9" fillId="0" borderId="23" xfId="0" applyNumberFormat="1" applyFont="1" applyBorder="1" applyProtection="1"/>
    <xf numFmtId="168" fontId="9" fillId="0" borderId="14" xfId="0" applyNumberFormat="1" applyFont="1" applyBorder="1" applyProtection="1"/>
    <xf numFmtId="168" fontId="6" fillId="0" borderId="29" xfId="0" applyNumberFormat="1" applyFont="1" applyBorder="1" applyAlignment="1" applyProtection="1">
      <protection locked="0"/>
    </xf>
    <xf numFmtId="168" fontId="6" fillId="0" borderId="1" xfId="0" applyNumberFormat="1" applyFont="1" applyBorder="1" applyAlignment="1" applyProtection="1">
      <protection locked="0"/>
    </xf>
    <xf numFmtId="168" fontId="6" fillId="0" borderId="53" xfId="0" applyNumberFormat="1" applyFont="1" applyBorder="1" applyAlignment="1" applyProtection="1">
      <protection locked="0"/>
    </xf>
    <xf numFmtId="168" fontId="6" fillId="0" borderId="36" xfId="0" applyNumberFormat="1" applyFont="1" applyBorder="1" applyAlignment="1" applyProtection="1">
      <protection locked="0"/>
    </xf>
    <xf numFmtId="168" fontId="4" fillId="2" borderId="14" xfId="0" applyNumberFormat="1" applyFont="1" applyFill="1" applyBorder="1" applyAlignment="1" applyProtection="1">
      <alignment horizontal="right"/>
    </xf>
    <xf numFmtId="168" fontId="9" fillId="0" borderId="49" xfId="0" applyNumberFormat="1" applyFont="1" applyBorder="1"/>
    <xf numFmtId="175" fontId="6" fillId="0" borderId="6" xfId="0" applyNumberFormat="1" applyFont="1" applyBorder="1" applyProtection="1"/>
    <xf numFmtId="175" fontId="6" fillId="0" borderId="12" xfId="0" applyNumberFormat="1" applyFont="1" applyBorder="1" applyProtection="1"/>
    <xf numFmtId="175" fontId="4" fillId="0" borderId="1" xfId="0" applyNumberFormat="1" applyFont="1" applyBorder="1" applyProtection="1"/>
    <xf numFmtId="0" fontId="6" fillId="0" borderId="30" xfId="0" applyFont="1" applyBorder="1" applyAlignment="1" applyProtection="1">
      <alignment horizontal="center"/>
    </xf>
    <xf numFmtId="0" fontId="6" fillId="0" borderId="43" xfId="0" applyFont="1" applyBorder="1" applyAlignment="1" applyProtection="1">
      <alignment horizontal="center"/>
    </xf>
    <xf numFmtId="2" fontId="6" fillId="0" borderId="6" xfId="0" applyNumberFormat="1" applyFont="1" applyBorder="1" applyProtection="1"/>
    <xf numFmtId="2" fontId="6" fillId="0" borderId="7" xfId="0" applyNumberFormat="1" applyFont="1" applyBorder="1" applyProtection="1"/>
    <xf numFmtId="172" fontId="48" fillId="0" borderId="0" xfId="0" applyNumberFormat="1" applyFont="1" applyBorder="1" applyProtection="1"/>
    <xf numFmtId="0" fontId="48" fillId="0" borderId="0" xfId="0" applyFont="1" applyBorder="1" applyAlignment="1" applyProtection="1">
      <alignment horizontal="right"/>
    </xf>
    <xf numFmtId="174" fontId="6" fillId="0" borderId="52" xfId="0" applyNumberFormat="1" applyFont="1" applyBorder="1" applyProtection="1"/>
    <xf numFmtId="0" fontId="0" fillId="0" borderId="0" xfId="0" applyBorder="1" applyProtection="1"/>
    <xf numFmtId="1" fontId="16" fillId="0" borderId="2" xfId="0" applyNumberFormat="1" applyFont="1" applyBorder="1" applyAlignment="1" applyProtection="1">
      <alignment horizontal="center"/>
    </xf>
    <xf numFmtId="1" fontId="16" fillId="0" borderId="4" xfId="0" applyNumberFormat="1" applyFont="1" applyBorder="1" applyAlignment="1" applyProtection="1">
      <alignment horizontal="center"/>
    </xf>
    <xf numFmtId="165" fontId="16" fillId="0" borderId="1" xfId="0" applyNumberFormat="1" applyFont="1" applyBorder="1" applyAlignment="1" applyProtection="1">
      <alignment horizontal="center"/>
    </xf>
    <xf numFmtId="2" fontId="16" fillId="0" borderId="1" xfId="0" applyNumberFormat="1" applyFont="1" applyBorder="1" applyAlignment="1" applyProtection="1">
      <alignment horizontal="center"/>
    </xf>
    <xf numFmtId="171" fontId="41" fillId="0" borderId="34" xfId="0" applyNumberFormat="1" applyFont="1" applyBorder="1" applyAlignment="1">
      <alignment horizontal="center"/>
    </xf>
    <xf numFmtId="171" fontId="41" fillId="0" borderId="54" xfId="0" applyNumberFormat="1" applyFont="1" applyBorder="1" applyAlignment="1" applyProtection="1">
      <alignment horizontal="center"/>
    </xf>
    <xf numFmtId="171" fontId="41" fillId="0" borderId="35" xfId="0" applyNumberFormat="1" applyFont="1" applyBorder="1" applyAlignment="1">
      <alignment horizontal="center"/>
    </xf>
    <xf numFmtId="171" fontId="16" fillId="0" borderId="4" xfId="0" applyNumberFormat="1" applyFont="1" applyBorder="1" applyAlignment="1" applyProtection="1">
      <alignment horizontal="center"/>
    </xf>
    <xf numFmtId="2" fontId="16" fillId="0" borderId="4" xfId="0" applyNumberFormat="1" applyFont="1" applyBorder="1" applyAlignment="1" applyProtection="1">
      <alignment horizontal="center"/>
    </xf>
    <xf numFmtId="171" fontId="16" fillId="0" borderId="1" xfId="0" applyNumberFormat="1" applyFont="1" applyBorder="1" applyAlignment="1" applyProtection="1">
      <alignment horizontal="center"/>
    </xf>
    <xf numFmtId="176" fontId="16" fillId="0" borderId="1" xfId="0" applyNumberFormat="1" applyFont="1" applyBorder="1" applyAlignment="1" applyProtection="1">
      <alignment horizontal="center"/>
    </xf>
    <xf numFmtId="171" fontId="16" fillId="0" borderId="2" xfId="0" applyNumberFormat="1" applyFont="1" applyBorder="1" applyAlignment="1" applyProtection="1">
      <alignment horizontal="center"/>
    </xf>
    <xf numFmtId="0" fontId="26" fillId="0" borderId="6" xfId="0" applyFont="1" applyBorder="1" applyAlignment="1" applyProtection="1">
      <alignment horizontal="center"/>
    </xf>
    <xf numFmtId="0" fontId="30" fillId="0" borderId="10" xfId="0" applyFont="1" applyBorder="1" applyAlignment="1" applyProtection="1">
      <alignment horizontal="center"/>
    </xf>
    <xf numFmtId="0" fontId="15" fillId="0" borderId="13" xfId="0" applyFont="1" applyBorder="1" applyAlignment="1" applyProtection="1">
      <alignment horizontal="center"/>
    </xf>
    <xf numFmtId="0" fontId="15" fillId="0" borderId="42" xfId="0" applyFont="1" applyBorder="1" applyAlignment="1" applyProtection="1">
      <alignment horizontal="center"/>
    </xf>
    <xf numFmtId="0" fontId="15" fillId="0" borderId="3" xfId="0" applyFont="1" applyBorder="1" applyAlignment="1" applyProtection="1">
      <alignment horizontal="center"/>
    </xf>
    <xf numFmtId="171" fontId="16" fillId="0" borderId="35" xfId="0" applyNumberFormat="1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49" fillId="0" borderId="23" xfId="0" applyNumberFormat="1" applyFont="1" applyBorder="1" applyProtection="1">
      <protection locked="0"/>
    </xf>
    <xf numFmtId="166" fontId="48" fillId="0" borderId="12" xfId="0" applyNumberFormat="1" applyFont="1" applyBorder="1" applyAlignment="1" applyProtection="1">
      <alignment horizontal="center"/>
      <protection locked="0"/>
    </xf>
    <xf numFmtId="49" fontId="29" fillId="0" borderId="0" xfId="0" applyNumberFormat="1" applyFont="1" applyAlignment="1" applyProtection="1">
      <alignment horizontal="center"/>
      <protection locked="0"/>
    </xf>
    <xf numFmtId="0" fontId="31" fillId="0" borderId="10" xfId="0" applyFont="1" applyBorder="1" applyAlignment="1" applyProtection="1">
      <alignment horizontal="center"/>
    </xf>
    <xf numFmtId="164" fontId="13" fillId="0" borderId="11" xfId="0" applyNumberFormat="1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165" fontId="50" fillId="0" borderId="21" xfId="0" applyNumberFormat="1" applyFont="1" applyBorder="1" applyAlignment="1" applyProtection="1">
      <alignment horizontal="center"/>
      <protection locked="0"/>
    </xf>
    <xf numFmtId="0" fontId="35" fillId="0" borderId="27" xfId="0" applyFont="1" applyBorder="1" applyAlignment="1" applyProtection="1">
      <alignment horizontal="left"/>
    </xf>
    <xf numFmtId="0" fontId="35" fillId="0" borderId="5" xfId="0" applyFont="1" applyBorder="1" applyAlignment="1" applyProtection="1">
      <alignment horizontal="left"/>
    </xf>
    <xf numFmtId="0" fontId="2" fillId="0" borderId="0" xfId="0" applyFont="1"/>
    <xf numFmtId="2" fontId="47" fillId="0" borderId="28" xfId="0" applyNumberFormat="1" applyFont="1" applyBorder="1"/>
    <xf numFmtId="171" fontId="13" fillId="0" borderId="1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176" fontId="29" fillId="0" borderId="4" xfId="0" applyNumberFormat="1" applyFont="1" applyBorder="1" applyAlignment="1" applyProtection="1">
      <alignment horizontal="left"/>
    </xf>
    <xf numFmtId="0" fontId="2" fillId="0" borderId="0" xfId="0" applyFont="1" applyBorder="1" applyProtection="1"/>
    <xf numFmtId="0" fontId="49" fillId="0" borderId="10" xfId="0" applyFont="1" applyBorder="1" applyAlignment="1" applyProtection="1">
      <alignment horizontal="left"/>
    </xf>
    <xf numFmtId="0" fontId="49" fillId="0" borderId="11" xfId="0" applyFont="1" applyBorder="1"/>
    <xf numFmtId="0" fontId="49" fillId="0" borderId="11" xfId="0" applyFont="1" applyBorder="1" applyAlignment="1" applyProtection="1">
      <alignment horizontal="left"/>
    </xf>
    <xf numFmtId="0" fontId="49" fillId="0" borderId="2" xfId="0" applyFont="1" applyBorder="1" applyAlignment="1" applyProtection="1">
      <alignment horizontal="left"/>
    </xf>
    <xf numFmtId="0" fontId="2" fillId="0" borderId="0" xfId="0" applyFont="1" applyProtection="1"/>
    <xf numFmtId="0" fontId="2" fillId="0" borderId="4" xfId="0" applyFont="1" applyBorder="1" applyProtection="1"/>
    <xf numFmtId="0" fontId="2" fillId="0" borderId="10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right"/>
    </xf>
    <xf numFmtId="0" fontId="2" fillId="0" borderId="6" xfId="0" applyFont="1" applyBorder="1" applyAlignment="1" applyProtection="1">
      <alignment horizontal="right"/>
    </xf>
    <xf numFmtId="0" fontId="2" fillId="0" borderId="2" xfId="0" applyFont="1" applyBorder="1" applyAlignment="1" applyProtection="1">
      <alignment horizontal="center"/>
    </xf>
    <xf numFmtId="0" fontId="14" fillId="0" borderId="9" xfId="0" applyFont="1" applyBorder="1" applyAlignment="1" applyProtection="1">
      <alignment horizontal="right"/>
    </xf>
    <xf numFmtId="0" fontId="48" fillId="0" borderId="9" xfId="0" applyFont="1" applyBorder="1" applyAlignment="1" applyProtection="1">
      <alignment horizontal="right"/>
    </xf>
    <xf numFmtId="0" fontId="49" fillId="0" borderId="2" xfId="0" applyFont="1" applyBorder="1" applyAlignment="1" applyProtection="1">
      <alignment horizontal="center"/>
    </xf>
    <xf numFmtId="0" fontId="6" fillId="0" borderId="9" xfId="0" applyFont="1" applyBorder="1" applyProtection="1"/>
    <xf numFmtId="2" fontId="48" fillId="0" borderId="1" xfId="0" applyNumberFormat="1" applyFont="1" applyBorder="1" applyAlignment="1" applyProtection="1">
      <alignment horizontal="right"/>
    </xf>
    <xf numFmtId="2" fontId="47" fillId="0" borderId="12" xfId="0" applyNumberFormat="1" applyFont="1" applyBorder="1" applyProtection="1">
      <protection locked="0"/>
    </xf>
    <xf numFmtId="0" fontId="13" fillId="0" borderId="13" xfId="0" applyFont="1" applyBorder="1" applyAlignment="1" applyProtection="1">
      <alignment horizontal="center"/>
    </xf>
    <xf numFmtId="0" fontId="13" fillId="0" borderId="2" xfId="0" applyFont="1" applyBorder="1" applyAlignment="1">
      <alignment horizontal="left"/>
    </xf>
    <xf numFmtId="0" fontId="31" fillId="0" borderId="5" xfId="0" applyFont="1" applyBorder="1" applyAlignment="1" applyProtection="1">
      <alignment horizontal="left"/>
    </xf>
    <xf numFmtId="0" fontId="15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0" fontId="19" fillId="0" borderId="5" xfId="0" applyFont="1" applyBorder="1" applyAlignment="1" applyProtection="1">
      <alignment horizontal="left"/>
    </xf>
    <xf numFmtId="0" fontId="19" fillId="0" borderId="0" xfId="0" applyFont="1" applyBorder="1" applyAlignment="1" applyProtection="1">
      <alignment horizontal="left"/>
    </xf>
    <xf numFmtId="0" fontId="19" fillId="0" borderId="40" xfId="0" applyFont="1" applyBorder="1" applyAlignment="1" applyProtection="1">
      <alignment horizontal="left"/>
    </xf>
    <xf numFmtId="0" fontId="19" fillId="0" borderId="42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left"/>
    </xf>
    <xf numFmtId="169" fontId="6" fillId="0" borderId="6" xfId="0" applyNumberFormat="1" applyFont="1" applyBorder="1" applyAlignment="1" applyProtection="1">
      <alignment horizontal="right"/>
    </xf>
    <xf numFmtId="169" fontId="6" fillId="0" borderId="12" xfId="0" applyNumberFormat="1" applyFont="1" applyBorder="1" applyAlignment="1" applyProtection="1">
      <alignment horizontal="right"/>
    </xf>
    <xf numFmtId="169" fontId="6" fillId="0" borderId="16" xfId="0" applyNumberFormat="1" applyFont="1" applyBorder="1" applyAlignment="1" applyProtection="1">
      <alignment horizontal="right"/>
    </xf>
    <xf numFmtId="169" fontId="6" fillId="0" borderId="3" xfId="0" applyNumberFormat="1" applyFont="1" applyBorder="1" applyAlignment="1" applyProtection="1">
      <alignment horizontal="right"/>
    </xf>
    <xf numFmtId="176" fontId="6" fillId="0" borderId="1" xfId="0" applyNumberFormat="1" applyFont="1" applyBorder="1" applyAlignment="1" applyProtection="1">
      <alignment horizontal="right"/>
    </xf>
    <xf numFmtId="166" fontId="49" fillId="0" borderId="30" xfId="0" applyNumberFormat="1" applyFont="1" applyBorder="1" applyAlignment="1" applyProtection="1">
      <alignment horizontal="center"/>
    </xf>
    <xf numFmtId="171" fontId="49" fillId="0" borderId="6" xfId="0" applyNumberFormat="1" applyFont="1" applyBorder="1" applyAlignment="1" applyProtection="1">
      <alignment horizontal="right"/>
    </xf>
    <xf numFmtId="166" fontId="49" fillId="0" borderId="8" xfId="0" applyNumberFormat="1" applyFont="1" applyBorder="1" applyAlignment="1" applyProtection="1">
      <alignment horizontal="center"/>
    </xf>
    <xf numFmtId="171" fontId="49" fillId="0" borderId="12" xfId="0" applyNumberFormat="1" applyFont="1" applyBorder="1" applyAlignment="1" applyProtection="1">
      <alignment horizontal="right"/>
    </xf>
    <xf numFmtId="166" fontId="49" fillId="0" borderId="9" xfId="0" applyNumberFormat="1" applyFont="1" applyBorder="1" applyAlignment="1" applyProtection="1">
      <alignment horizontal="center"/>
    </xf>
    <xf numFmtId="171" fontId="49" fillId="0" borderId="1" xfId="0" applyNumberFormat="1" applyFont="1" applyBorder="1" applyAlignment="1" applyProtection="1">
      <alignment horizontal="right"/>
    </xf>
    <xf numFmtId="0" fontId="48" fillId="0" borderId="0" xfId="0" applyFont="1" applyBorder="1" applyAlignment="1" applyProtection="1">
      <alignment horizontal="left"/>
    </xf>
    <xf numFmtId="166" fontId="6" fillId="0" borderId="12" xfId="0" applyNumberFormat="1" applyFont="1" applyBorder="1" applyAlignment="1" applyProtection="1">
      <alignment horizontal="center"/>
      <protection locked="0"/>
    </xf>
    <xf numFmtId="166" fontId="16" fillId="0" borderId="2" xfId="0" applyNumberFormat="1" applyFont="1" applyBorder="1" applyAlignment="1" applyProtection="1">
      <alignment horizontal="center"/>
    </xf>
    <xf numFmtId="170" fontId="6" fillId="0" borderId="1" xfId="0" applyNumberFormat="1" applyFont="1" applyBorder="1" applyProtection="1">
      <protection locked="0"/>
    </xf>
    <xf numFmtId="170" fontId="9" fillId="0" borderId="2" xfId="0" applyNumberFormat="1" applyFont="1" applyBorder="1" applyProtection="1"/>
    <xf numFmtId="1" fontId="49" fillId="0" borderId="28" xfId="0" applyNumberFormat="1" applyFont="1" applyBorder="1" applyAlignment="1" applyProtection="1">
      <alignment horizontal="center"/>
      <protection locked="0"/>
    </xf>
    <xf numFmtId="176" fontId="49" fillId="0" borderId="28" xfId="0" applyNumberFormat="1" applyFont="1" applyBorder="1" applyAlignment="1" applyProtection="1">
      <alignment horizontal="center"/>
      <protection locked="0"/>
    </xf>
    <xf numFmtId="0" fontId="2" fillId="0" borderId="55" xfId="0" applyFont="1" applyBorder="1" applyAlignment="1" applyProtection="1">
      <alignment horizontal="right"/>
    </xf>
    <xf numFmtId="0" fontId="2" fillId="0" borderId="56" xfId="0" applyFont="1" applyBorder="1" applyAlignment="1" applyProtection="1">
      <alignment horizontal="right"/>
    </xf>
    <xf numFmtId="0" fontId="10" fillId="0" borderId="12" xfId="0" applyFont="1" applyBorder="1" applyAlignment="1" applyProtection="1">
      <alignment horizontal="center"/>
      <protection locked="0"/>
    </xf>
    <xf numFmtId="170" fontId="9" fillId="0" borderId="0" xfId="0" applyNumberFormat="1" applyFont="1" applyBorder="1" applyProtection="1"/>
    <xf numFmtId="2" fontId="6" fillId="0" borderId="0" xfId="0" applyNumberFormat="1" applyFont="1" applyBorder="1" applyProtection="1">
      <protection locked="0"/>
    </xf>
    <xf numFmtId="165" fontId="0" fillId="0" borderId="0" xfId="0" applyNumberFormat="1"/>
    <xf numFmtId="0" fontId="7" fillId="0" borderId="0" xfId="0" applyFont="1"/>
    <xf numFmtId="0" fontId="7" fillId="0" borderId="0" xfId="0" applyFont="1" applyAlignment="1">
      <alignment horizontal="center"/>
    </xf>
    <xf numFmtId="171" fontId="0" fillId="0" borderId="0" xfId="0" applyNumberFormat="1"/>
    <xf numFmtId="0" fontId="0" fillId="0" borderId="0" xfId="0" applyAlignment="1">
      <alignment horizontal="right"/>
    </xf>
    <xf numFmtId="0" fontId="46" fillId="0" borderId="0" xfId="0" applyFont="1"/>
    <xf numFmtId="1" fontId="0" fillId="0" borderId="0" xfId="0" applyNumberFormat="1"/>
    <xf numFmtId="0" fontId="51" fillId="0" borderId="0" xfId="0" applyFont="1" applyBorder="1" applyAlignment="1" applyProtection="1">
      <alignment horizontal="center"/>
    </xf>
    <xf numFmtId="178" fontId="0" fillId="0" borderId="0" xfId="0" applyNumberFormat="1"/>
    <xf numFmtId="176" fontId="0" fillId="0" borderId="0" xfId="0" applyNumberFormat="1"/>
    <xf numFmtId="180" fontId="0" fillId="0" borderId="0" xfId="0" applyNumberFormat="1"/>
    <xf numFmtId="178" fontId="0" fillId="0" borderId="0" xfId="0" applyNumberFormat="1" applyAlignment="1">
      <alignment horizontal="right"/>
    </xf>
    <xf numFmtId="2" fontId="48" fillId="0" borderId="49" xfId="0" applyNumberFormat="1" applyFont="1" applyBorder="1" applyProtection="1"/>
    <xf numFmtId="2" fontId="48" fillId="0" borderId="48" xfId="0" applyNumberFormat="1" applyFont="1" applyBorder="1" applyProtection="1"/>
    <xf numFmtId="2" fontId="48" fillId="0" borderId="47" xfId="0" applyNumberFormat="1" applyFont="1" applyBorder="1" applyProtection="1"/>
    <xf numFmtId="2" fontId="48" fillId="0" borderId="51" xfId="0" applyNumberFormat="1" applyFont="1" applyBorder="1" applyProtection="1"/>
    <xf numFmtId="2" fontId="48" fillId="0" borderId="21" xfId="0" applyNumberFormat="1" applyFont="1" applyBorder="1" applyProtection="1"/>
    <xf numFmtId="2" fontId="48" fillId="0" borderId="12" xfId="0" applyNumberFormat="1" applyFont="1" applyBorder="1" applyProtection="1"/>
    <xf numFmtId="2" fontId="48" fillId="0" borderId="29" xfId="0" applyNumberFormat="1" applyFont="1" applyBorder="1" applyProtection="1"/>
    <xf numFmtId="2" fontId="48" fillId="0" borderId="19" xfId="0" applyNumberFormat="1" applyFont="1" applyBorder="1" applyProtection="1"/>
    <xf numFmtId="2" fontId="48" fillId="0" borderId="1" xfId="0" applyNumberFormat="1" applyFont="1" applyBorder="1" applyProtection="1"/>
    <xf numFmtId="2" fontId="48" fillId="0" borderId="50" xfId="0" applyNumberFormat="1" applyFont="1" applyBorder="1" applyProtection="1"/>
    <xf numFmtId="2" fontId="48" fillId="0" borderId="23" xfId="0" applyNumberFormat="1" applyFont="1" applyBorder="1" applyProtection="1"/>
    <xf numFmtId="2" fontId="48" fillId="0" borderId="3" xfId="0" applyNumberFormat="1" applyFont="1" applyBorder="1" applyProtection="1"/>
    <xf numFmtId="0" fontId="2" fillId="0" borderId="11" xfId="0" applyFont="1" applyBorder="1" applyAlignment="1" applyProtection="1">
      <alignment horizontal="left"/>
    </xf>
    <xf numFmtId="168" fontId="52" fillId="0" borderId="19" xfId="0" applyNumberFormat="1" applyFont="1" applyBorder="1" applyProtection="1">
      <protection locked="0"/>
    </xf>
    <xf numFmtId="0" fontId="6" fillId="0" borderId="2" xfId="0" applyFont="1" applyBorder="1" applyAlignment="1" applyProtection="1">
      <alignment horizontal="left"/>
    </xf>
    <xf numFmtId="168" fontId="52" fillId="0" borderId="19" xfId="0" applyNumberFormat="1" applyFont="1" applyBorder="1" applyProtection="1"/>
    <xf numFmtId="168" fontId="49" fillId="0" borderId="23" xfId="0" applyNumberFormat="1" applyFont="1" applyBorder="1" applyProtection="1"/>
    <xf numFmtId="2" fontId="54" fillId="0" borderId="49" xfId="0" applyNumberFormat="1" applyFont="1" applyBorder="1" applyProtection="1">
      <protection locked="0"/>
    </xf>
    <xf numFmtId="2" fontId="54" fillId="0" borderId="47" xfId="0" applyNumberFormat="1" applyFont="1" applyBorder="1" applyProtection="1">
      <protection locked="0"/>
    </xf>
    <xf numFmtId="2" fontId="54" fillId="0" borderId="29" xfId="0" applyNumberFormat="1" applyFont="1" applyBorder="1" applyProtection="1">
      <protection locked="0"/>
    </xf>
    <xf numFmtId="2" fontId="54" fillId="0" borderId="1" xfId="0" applyNumberFormat="1" applyFont="1" applyBorder="1" applyProtection="1">
      <protection locked="0"/>
    </xf>
    <xf numFmtId="2" fontId="54" fillId="0" borderId="50" xfId="0" applyNumberFormat="1" applyFont="1" applyBorder="1" applyProtection="1">
      <protection locked="0"/>
    </xf>
    <xf numFmtId="2" fontId="54" fillId="0" borderId="3" xfId="0" applyNumberFormat="1" applyFont="1" applyBorder="1" applyProtection="1">
      <protection locked="0"/>
    </xf>
    <xf numFmtId="2" fontId="54" fillId="0" borderId="51" xfId="0" applyNumberFormat="1" applyFont="1" applyBorder="1" applyProtection="1">
      <protection locked="0"/>
    </xf>
    <xf numFmtId="2" fontId="54" fillId="0" borderId="12" xfId="0" applyNumberFormat="1" applyFont="1" applyBorder="1" applyProtection="1">
      <protection locked="0"/>
    </xf>
    <xf numFmtId="170" fontId="54" fillId="0" borderId="46" xfId="0" applyNumberFormat="1" applyFont="1" applyBorder="1" applyProtection="1">
      <protection locked="0"/>
    </xf>
    <xf numFmtId="2" fontId="54" fillId="0" borderId="48" xfId="0" applyNumberFormat="1" applyFont="1" applyBorder="1" applyProtection="1">
      <protection locked="0"/>
    </xf>
    <xf numFmtId="170" fontId="54" fillId="0" borderId="13" xfId="0" applyNumberFormat="1" applyFont="1" applyBorder="1" applyProtection="1">
      <protection locked="0"/>
    </xf>
    <xf numFmtId="2" fontId="54" fillId="0" borderId="23" xfId="0" applyNumberFormat="1" applyFont="1" applyBorder="1" applyProtection="1">
      <protection locked="0"/>
    </xf>
    <xf numFmtId="170" fontId="54" fillId="0" borderId="11" xfId="0" applyNumberFormat="1" applyFont="1" applyBorder="1" applyProtection="1">
      <protection locked="0"/>
    </xf>
    <xf numFmtId="2" fontId="54" fillId="0" borderId="21" xfId="0" applyNumberFormat="1" applyFont="1" applyBorder="1" applyProtection="1">
      <protection locked="0"/>
    </xf>
    <xf numFmtId="170" fontId="54" fillId="0" borderId="57" xfId="0" applyNumberFormat="1" applyFont="1" applyBorder="1" applyProtection="1">
      <protection locked="0"/>
    </xf>
    <xf numFmtId="2" fontId="54" fillId="0" borderId="58" xfId="0" applyNumberFormat="1" applyFont="1" applyBorder="1" applyProtection="1">
      <protection locked="0"/>
    </xf>
    <xf numFmtId="2" fontId="54" fillId="0" borderId="59" xfId="0" applyNumberFormat="1" applyFont="1" applyBorder="1" applyProtection="1">
      <protection locked="0"/>
    </xf>
    <xf numFmtId="170" fontId="54" fillId="0" borderId="2" xfId="0" applyNumberFormat="1" applyFont="1" applyBorder="1" applyProtection="1">
      <protection locked="0"/>
    </xf>
    <xf numFmtId="2" fontId="54" fillId="0" borderId="19" xfId="0" applyNumberFormat="1" applyFont="1" applyBorder="1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/>
    <xf numFmtId="171" fontId="29" fillId="0" borderId="2" xfId="0" applyNumberFormat="1" applyFont="1" applyBorder="1" applyProtection="1">
      <protection locked="0"/>
    </xf>
    <xf numFmtId="0" fontId="2" fillId="0" borderId="3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31" fillId="0" borderId="4" xfId="0" applyFont="1" applyBorder="1" applyAlignment="1" applyProtection="1">
      <alignment horizontal="center"/>
    </xf>
    <xf numFmtId="0" fontId="35" fillId="0" borderId="4" xfId="0" applyFont="1" applyBorder="1" applyAlignment="1" applyProtection="1">
      <alignment horizontal="center"/>
    </xf>
    <xf numFmtId="0" fontId="4" fillId="0" borderId="30" xfId="0" applyFont="1" applyBorder="1" applyAlignment="1" applyProtection="1">
      <alignment horizontal="center"/>
    </xf>
    <xf numFmtId="0" fontId="4" fillId="0" borderId="43" xfId="0" applyFont="1" applyBorder="1" applyAlignment="1" applyProtection="1">
      <alignment horizontal="right"/>
    </xf>
    <xf numFmtId="0" fontId="4" fillId="0" borderId="7" xfId="0" applyFont="1" applyBorder="1" applyAlignment="1" applyProtection="1">
      <alignment horizontal="right"/>
    </xf>
    <xf numFmtId="0" fontId="43" fillId="0" borderId="0" xfId="0" applyFont="1" applyBorder="1" applyAlignment="1" applyProtection="1">
      <alignment horizontal="right"/>
    </xf>
    <xf numFmtId="0" fontId="31" fillId="0" borderId="30" xfId="0" applyFont="1" applyBorder="1" applyAlignment="1" applyProtection="1">
      <alignment horizontal="right"/>
    </xf>
    <xf numFmtId="0" fontId="31" fillId="0" borderId="5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"/>
    </xf>
    <xf numFmtId="0" fontId="31" fillId="0" borderId="6" xfId="0" applyFont="1" applyBorder="1" applyAlignment="1" applyProtection="1">
      <alignment horizontal="center"/>
    </xf>
    <xf numFmtId="0" fontId="31" fillId="0" borderId="43" xfId="0" applyFont="1" applyBorder="1" applyAlignment="1" applyProtection="1">
      <alignment horizontal="center"/>
    </xf>
    <xf numFmtId="0" fontId="31" fillId="0" borderId="7" xfId="0" applyFont="1" applyBorder="1" applyAlignment="1" applyProtection="1">
      <alignment horizontal="center"/>
    </xf>
    <xf numFmtId="0" fontId="42" fillId="0" borderId="0" xfId="0" applyFont="1" applyAlignment="1" applyProtection="1">
      <alignment horizontal="left"/>
    </xf>
    <xf numFmtId="0" fontId="31" fillId="0" borderId="5" xfId="0" applyFont="1" applyBorder="1" applyAlignment="1" applyProtection="1">
      <alignment horizontal="center"/>
    </xf>
    <xf numFmtId="0" fontId="33" fillId="0" borderId="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"/>
    </xf>
    <xf numFmtId="0" fontId="42" fillId="0" borderId="0" xfId="0" applyFont="1" applyAlignment="1" applyProtection="1">
      <alignment horizontal="center"/>
    </xf>
    <xf numFmtId="0" fontId="31" fillId="0" borderId="0" xfId="0" applyFont="1" applyAlignment="1" applyProtection="1">
      <alignment horizontal="left"/>
    </xf>
    <xf numFmtId="0" fontId="21" fillId="0" borderId="0" xfId="0" applyFont="1" applyAlignment="1">
      <alignment horizontal="right"/>
    </xf>
    <xf numFmtId="0" fontId="14" fillId="0" borderId="30" xfId="0" applyFont="1" applyBorder="1" applyAlignment="1" applyProtection="1">
      <alignment horizontal="center"/>
    </xf>
    <xf numFmtId="0" fontId="14" fillId="0" borderId="6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theme="8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4</xdr:row>
          <xdr:rowOff>133350</xdr:rowOff>
        </xdr:from>
        <xdr:to>
          <xdr:col>14</xdr:col>
          <xdr:colOff>333375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7"/>
  <sheetViews>
    <sheetView showGridLines="0" zoomScale="130" workbookViewId="0"/>
  </sheetViews>
  <sheetFormatPr defaultColWidth="8.5703125" defaultRowHeight="12.75" x14ac:dyDescent="0.2"/>
  <cols>
    <col min="1" max="1" width="8.7109375" style="3" customWidth="1"/>
    <col min="2" max="3" width="10.5703125" style="3" bestFit="1" customWidth="1"/>
    <col min="4" max="4" width="8.5703125" style="3" customWidth="1"/>
    <col min="5" max="5" width="8.5703125" style="3"/>
    <col min="6" max="6" width="8.5703125" style="3" customWidth="1"/>
    <col min="7" max="16384" width="8.5703125" style="3"/>
  </cols>
  <sheetData>
    <row r="1" spans="1:12" ht="20.25" x14ac:dyDescent="0.3">
      <c r="A1" s="6"/>
      <c r="B1" s="4" t="s">
        <v>0</v>
      </c>
      <c r="C1" s="2"/>
      <c r="D1" s="5"/>
      <c r="E1" s="32"/>
      <c r="F1" s="329" t="s">
        <v>104</v>
      </c>
      <c r="G1" s="33"/>
      <c r="H1" s="2"/>
      <c r="I1" s="150"/>
      <c r="J1" s="2"/>
      <c r="K1" s="2"/>
      <c r="L1" s="23"/>
    </row>
    <row r="2" spans="1:12" ht="15" x14ac:dyDescent="0.25">
      <c r="D2" s="5"/>
      <c r="E2" s="33"/>
      <c r="F2" s="104"/>
      <c r="G2" s="33"/>
      <c r="H2" s="2"/>
      <c r="I2" s="171"/>
      <c r="J2" s="50"/>
      <c r="K2" s="171"/>
      <c r="L2" s="50"/>
    </row>
    <row r="3" spans="1:12" x14ac:dyDescent="0.2">
      <c r="C3" s="2"/>
      <c r="D3" s="5"/>
      <c r="F3" s="449" t="s">
        <v>275</v>
      </c>
      <c r="G3" s="341"/>
      <c r="H3" s="2"/>
      <c r="I3" s="78"/>
      <c r="J3" s="78"/>
      <c r="K3" s="78"/>
      <c r="L3" s="78"/>
    </row>
    <row r="4" spans="1:12" x14ac:dyDescent="0.2">
      <c r="C4" s="2"/>
      <c r="D4" s="2"/>
      <c r="E4" s="172"/>
      <c r="F4" s="452" t="s">
        <v>291</v>
      </c>
      <c r="G4" s="8"/>
      <c r="H4" s="2"/>
      <c r="I4" s="339"/>
      <c r="J4" s="339"/>
      <c r="K4" s="340"/>
      <c r="L4" s="11"/>
    </row>
    <row r="5" spans="1:12" x14ac:dyDescent="0.2">
      <c r="A5" s="9" t="s">
        <v>219</v>
      </c>
      <c r="B5" s="10"/>
      <c r="C5" s="10" t="s">
        <v>1</v>
      </c>
      <c r="D5" s="10" t="s">
        <v>1</v>
      </c>
      <c r="E5" s="10" t="s">
        <v>1</v>
      </c>
      <c r="F5" s="10" t="s">
        <v>1</v>
      </c>
      <c r="G5" s="10" t="s">
        <v>1</v>
      </c>
      <c r="H5" s="10" t="s">
        <v>1</v>
      </c>
      <c r="I5" s="10" t="s">
        <v>1</v>
      </c>
      <c r="J5" s="10" t="s">
        <v>1</v>
      </c>
      <c r="K5" s="10" t="s">
        <v>1</v>
      </c>
    </row>
    <row r="6" spans="1:12" x14ac:dyDescent="0.2">
      <c r="A6" s="148" t="s">
        <v>105</v>
      </c>
      <c r="B6" s="331" t="s">
        <v>106</v>
      </c>
      <c r="C6" s="331" t="s">
        <v>108</v>
      </c>
      <c r="D6" s="149" t="s">
        <v>2</v>
      </c>
      <c r="E6" s="149" t="s">
        <v>109</v>
      </c>
      <c r="F6" s="149" t="s">
        <v>110</v>
      </c>
      <c r="G6" s="142" t="s">
        <v>111</v>
      </c>
      <c r="H6" s="40"/>
      <c r="I6" s="149" t="s">
        <v>3</v>
      </c>
      <c r="J6" s="453" t="s">
        <v>220</v>
      </c>
      <c r="K6" s="453" t="s">
        <v>221</v>
      </c>
    </row>
    <row r="7" spans="1:12" x14ac:dyDescent="0.2">
      <c r="A7" s="34" t="s">
        <v>4</v>
      </c>
      <c r="B7" s="118" t="s">
        <v>107</v>
      </c>
      <c r="C7" s="118" t="s">
        <v>5</v>
      </c>
      <c r="D7" s="37" t="s">
        <v>204</v>
      </c>
      <c r="E7" s="37" t="s">
        <v>216</v>
      </c>
      <c r="F7" s="37" t="s">
        <v>7</v>
      </c>
      <c r="G7" s="118" t="s">
        <v>8</v>
      </c>
      <c r="H7" s="37" t="s">
        <v>112</v>
      </c>
      <c r="I7" s="37" t="s">
        <v>8</v>
      </c>
      <c r="J7" s="454" t="s">
        <v>223</v>
      </c>
      <c r="K7" s="455" t="s">
        <v>222</v>
      </c>
    </row>
    <row r="8" spans="1:12" s="11" customFormat="1" x14ac:dyDescent="0.2">
      <c r="A8" s="513" t="s">
        <v>289</v>
      </c>
      <c r="B8" s="398">
        <v>2014</v>
      </c>
      <c r="C8" s="456">
        <v>130</v>
      </c>
      <c r="D8" s="399">
        <f>TRUNC(B19/100,2)</f>
        <v>306</v>
      </c>
      <c r="E8" s="395" t="s">
        <v>296</v>
      </c>
      <c r="F8" s="400">
        <v>1</v>
      </c>
      <c r="G8" s="451">
        <v>10</v>
      </c>
      <c r="H8" s="395" t="s">
        <v>290</v>
      </c>
      <c r="I8" s="505">
        <v>10</v>
      </c>
      <c r="J8" s="509">
        <v>1</v>
      </c>
      <c r="K8" s="510">
        <v>1</v>
      </c>
    </row>
    <row r="9" spans="1:12" s="11" customFormat="1" x14ac:dyDescent="0.2">
      <c r="A9" s="401"/>
      <c r="B9" s="402"/>
      <c r="C9" s="403"/>
      <c r="D9" s="404"/>
      <c r="E9" s="405"/>
      <c r="F9" s="396"/>
      <c r="G9" s="406"/>
      <c r="H9" s="396"/>
      <c r="I9" s="397"/>
      <c r="J9" s="14"/>
      <c r="K9" s="15"/>
    </row>
    <row r="10" spans="1:12" x14ac:dyDescent="0.2">
      <c r="A10" s="9" t="s">
        <v>227</v>
      </c>
      <c r="B10" s="2"/>
      <c r="C10" s="2"/>
      <c r="D10" s="2"/>
      <c r="E10" s="23"/>
      <c r="H10" s="9" t="s">
        <v>115</v>
      </c>
    </row>
    <row r="11" spans="1:12" x14ac:dyDescent="0.2">
      <c r="A11" s="568" t="s">
        <v>273</v>
      </c>
      <c r="B11" s="569"/>
      <c r="C11" s="568" t="s">
        <v>274</v>
      </c>
      <c r="D11" s="569"/>
      <c r="E11" s="164"/>
      <c r="H11" s="568" t="s">
        <v>218</v>
      </c>
      <c r="I11" s="569"/>
      <c r="J11" s="572" t="s">
        <v>114</v>
      </c>
      <c r="K11" s="569"/>
    </row>
    <row r="12" spans="1:12" x14ac:dyDescent="0.2">
      <c r="A12" s="167" t="str">
        <f>H8</f>
        <v>DMS</v>
      </c>
      <c r="B12" s="189" t="str">
        <f>H8</f>
        <v>DMS</v>
      </c>
      <c r="C12" s="190" t="str">
        <f>H8</f>
        <v>DMS</v>
      </c>
      <c r="D12" s="170" t="str">
        <f>H8</f>
        <v>DMS</v>
      </c>
      <c r="E12" s="164"/>
      <c r="H12" s="167" t="s">
        <v>9</v>
      </c>
      <c r="I12" s="168" t="s">
        <v>9</v>
      </c>
      <c r="J12" s="169" t="s">
        <v>9</v>
      </c>
      <c r="K12" s="170" t="s">
        <v>9</v>
      </c>
    </row>
    <row r="13" spans="1:12" s="11" customFormat="1" x14ac:dyDescent="0.2">
      <c r="A13" s="414">
        <v>10.27</v>
      </c>
      <c r="B13" s="415">
        <v>10.27</v>
      </c>
      <c r="C13" s="416">
        <v>190.27</v>
      </c>
      <c r="D13" s="417">
        <v>190.2655</v>
      </c>
      <c r="E13" s="164"/>
      <c r="H13" s="178">
        <f>IF($H$8="gon",A13,IF($H$8="DM",(TRUNC(A13)+MOD(A13,1)*100/60)/0.9,IF($H$8="DMS",(TRUNC(A13)+TRUNC(MOD(A13,1)*100)/60+MOD(A13*100,1)*100/3600)/0.9,0)))</f>
        <v>11.611111111111111</v>
      </c>
      <c r="I13" s="179">
        <f>IF($H$8="gon",B13,IF($H$8="DM",(TRUNC(B13)+MOD(B13,1)*100/60)/0.9,IF($H$8="DMS",(TRUNC(B13)+TRUNC(MOD(B13,1)*100)/60+MOD(B13*100,1)*100/3600)/0.9,0)))</f>
        <v>11.611111111111111</v>
      </c>
      <c r="J13" s="180">
        <f>IF($H$8="gon",C13,IF($H$8="DM",(TRUNC(C13)+MOD(C13,1)*100/60)/0.9,IF($H$8="DMS",(TRUNC(C13)+TRUNC(MOD(C13,1)*100)/60+MOD(C13*100,1)*100/3600)/0.9,0)))</f>
        <v>211.61111111111109</v>
      </c>
      <c r="K13" s="179">
        <f>IF($H$8="gon",D13,IF($H$8="DM",(TRUNC(D13)+MOD(D13,1)*100/60)/0.9,IF($H$8="DMS",(TRUNC(D13)+TRUNC(MOD(D13,1)*100)/60+MOD(D13*100,1)*100/3600)/0.9,0)))</f>
        <v>211.60956790123453</v>
      </c>
    </row>
    <row r="14" spans="1:12" s="11" customFormat="1" x14ac:dyDescent="0.2">
      <c r="A14" s="16"/>
    </row>
    <row r="15" spans="1:12" x14ac:dyDescent="0.2">
      <c r="A15" s="9" t="s">
        <v>116</v>
      </c>
      <c r="B15" s="2"/>
      <c r="C15" s="2"/>
      <c r="D15" s="2"/>
      <c r="E15" s="2"/>
      <c r="F15" s="2"/>
      <c r="G15" s="2"/>
      <c r="H15" s="2"/>
      <c r="I15" s="2"/>
      <c r="J15" s="570" t="s">
        <v>224</v>
      </c>
      <c r="K15" s="571"/>
    </row>
    <row r="16" spans="1:12" x14ac:dyDescent="0.2">
      <c r="A16" s="144" t="s">
        <v>10</v>
      </c>
      <c r="B16" s="145" t="s">
        <v>2</v>
      </c>
      <c r="C16" s="457" t="s">
        <v>11</v>
      </c>
      <c r="D16" s="141"/>
      <c r="E16" s="40"/>
      <c r="F16" s="458" t="s">
        <v>117</v>
      </c>
      <c r="G16" s="137"/>
      <c r="H16" s="138"/>
      <c r="I16" s="10" t="s">
        <v>1</v>
      </c>
      <c r="J16" s="277"/>
      <c r="K16" s="40"/>
    </row>
    <row r="17" spans="1:11" x14ac:dyDescent="0.2">
      <c r="A17" s="48"/>
      <c r="B17" s="140" t="s">
        <v>217</v>
      </c>
      <c r="C17" s="151" t="s">
        <v>13</v>
      </c>
      <c r="D17" s="151" t="s">
        <v>14</v>
      </c>
      <c r="E17" s="139" t="s">
        <v>15</v>
      </c>
      <c r="F17" s="135" t="s">
        <v>16</v>
      </c>
      <c r="G17" s="135" t="s">
        <v>17</v>
      </c>
      <c r="H17" s="136" t="s">
        <v>18</v>
      </c>
      <c r="I17" s="10"/>
      <c r="J17" s="152" t="s">
        <v>225</v>
      </c>
      <c r="K17" s="153" t="s">
        <v>226</v>
      </c>
    </row>
    <row r="18" spans="1:11" x14ac:dyDescent="0.2">
      <c r="A18" s="19" t="s">
        <v>1</v>
      </c>
      <c r="B18" s="36"/>
      <c r="C18" s="118" t="str">
        <f>H8</f>
        <v>DMS</v>
      </c>
      <c r="D18" s="118" t="str">
        <f>H8</f>
        <v>DMS</v>
      </c>
      <c r="E18" s="1" t="s">
        <v>1</v>
      </c>
      <c r="F18" s="130"/>
      <c r="G18" s="130"/>
      <c r="H18" s="95"/>
      <c r="I18" s="10" t="s">
        <v>1</v>
      </c>
      <c r="J18" s="34" t="s">
        <v>9</v>
      </c>
      <c r="K18" s="37" t="s">
        <v>9</v>
      </c>
    </row>
    <row r="19" spans="1:11" s="11" customFormat="1" x14ac:dyDescent="0.2">
      <c r="A19" s="540" t="s">
        <v>269</v>
      </c>
      <c r="B19" s="123">
        <v>30600</v>
      </c>
      <c r="C19" s="450">
        <v>216.453</v>
      </c>
      <c r="D19" s="412">
        <v>270</v>
      </c>
      <c r="E19" s="20">
        <v>-0.2</v>
      </c>
      <c r="F19" s="545">
        <v>9105.3060000000005</v>
      </c>
      <c r="G19" s="546">
        <v>-225.369</v>
      </c>
      <c r="H19" s="546">
        <v>56857.678999999996</v>
      </c>
      <c r="I19" s="10" t="s">
        <v>1</v>
      </c>
      <c r="J19" s="181">
        <f>IF($H$8="gon",C19,IF($H$8="DM",(TRUNC(C19)+MOD(C19,1)*100/60)/0.9,IF($H$8="DMS",(TRUNC(C19)+TRUNC(MOD(C19,1)*100)/60+MOD(C19*100,1)*100/3600)/0.9,0)))</f>
        <v>240.84259259259258</v>
      </c>
      <c r="K19" s="182">
        <f>IF($H$8="gon",D19,IF($H$8="DM",(TRUNC(D19)+MOD(D19,1)*100/60)/0.9,IF($H$8="DMS",(TRUNC(D19)+TRUNC(MOD(D19,1)*100)/60+MOD(D19*100,1)*100/3600)/0.9,0)))</f>
        <v>300</v>
      </c>
    </row>
    <row r="20" spans="1:11" x14ac:dyDescent="0.2">
      <c r="A20" s="21"/>
      <c r="B20" s="507">
        <v>30615</v>
      </c>
      <c r="C20" s="543">
        <f>C19</f>
        <v>216.453</v>
      </c>
      <c r="D20" s="413">
        <v>270</v>
      </c>
      <c r="E20" s="22">
        <v>-0.3</v>
      </c>
      <c r="F20" s="547">
        <v>9105.3850000000002</v>
      </c>
      <c r="G20" s="548">
        <v>-225.536</v>
      </c>
      <c r="H20" s="548">
        <v>56857.673000000003</v>
      </c>
      <c r="I20" s="10" t="s">
        <v>1</v>
      </c>
      <c r="J20" s="183">
        <f t="shared" ref="J20:J26" si="0">IF($H$8="gon",C20,IF($H$8="DM",(TRUNC(C20)+MOD(C20,1)*100/60)/0.9,IF($H$8="DMS",(TRUNC(C20)+TRUNC(MOD(C20,1)*100)/60+MOD(C20*100,1)*100/3600)/0.9,0)))</f>
        <v>240.84259259259258</v>
      </c>
      <c r="K20" s="184">
        <f t="shared" ref="K20:K26" si="1">IF($H$8="gon",D20,IF($H$8="DM",(TRUNC(D20)+MOD(D20,1)*100/60)/0.9,IF($H$8="DMS",(TRUNC(D20)+TRUNC(MOD(D20,1)*100)/60+MOD(D20*100,1)*100/3600)/0.9,0)))</f>
        <v>300</v>
      </c>
    </row>
    <row r="21" spans="1:11" s="11" customFormat="1" x14ac:dyDescent="0.2">
      <c r="A21" s="540" t="s">
        <v>270</v>
      </c>
      <c r="B21" s="123">
        <v>30845</v>
      </c>
      <c r="C21" s="450">
        <v>37.152999999999999</v>
      </c>
      <c r="D21" s="412">
        <v>270</v>
      </c>
      <c r="E21" s="20">
        <v>0.5</v>
      </c>
      <c r="F21" s="545">
        <v>9107.4240000000009</v>
      </c>
      <c r="G21" s="546">
        <v>-223.114</v>
      </c>
      <c r="H21" s="372"/>
      <c r="I21" s="10" t="s">
        <v>1</v>
      </c>
      <c r="J21" s="181">
        <f t="shared" si="0"/>
        <v>41.398148148148138</v>
      </c>
      <c r="K21" s="182">
        <f t="shared" si="1"/>
        <v>300</v>
      </c>
    </row>
    <row r="22" spans="1:11" x14ac:dyDescent="0.2">
      <c r="A22" s="21"/>
      <c r="B22" s="507">
        <v>30900</v>
      </c>
      <c r="C22" s="543">
        <f>C21</f>
        <v>37.152999999999999</v>
      </c>
      <c r="D22" s="413">
        <v>270</v>
      </c>
      <c r="E22" s="22">
        <v>0.4</v>
      </c>
      <c r="F22" s="547">
        <v>9108.5779999999995</v>
      </c>
      <c r="G22" s="548">
        <v>-222.97200000000001</v>
      </c>
      <c r="H22" s="371"/>
      <c r="I22" s="10" t="s">
        <v>1</v>
      </c>
      <c r="J22" s="183">
        <f t="shared" si="0"/>
        <v>41.398148148148138</v>
      </c>
      <c r="K22" s="184">
        <f t="shared" si="1"/>
        <v>300</v>
      </c>
    </row>
    <row r="23" spans="1:11" s="11" customFormat="1" x14ac:dyDescent="0.2">
      <c r="A23" s="540" t="s">
        <v>271</v>
      </c>
      <c r="B23" s="123">
        <v>31300</v>
      </c>
      <c r="C23" s="450">
        <v>37.143000000000001</v>
      </c>
      <c r="D23" s="412">
        <v>90</v>
      </c>
      <c r="E23" s="20">
        <v>-0.4</v>
      </c>
      <c r="F23" s="549">
        <v>9115.2819999999992</v>
      </c>
      <c r="G23" s="550">
        <v>-221.006</v>
      </c>
      <c r="H23" s="370"/>
      <c r="I23" s="10" t="s">
        <v>1</v>
      </c>
      <c r="J23" s="181">
        <f t="shared" si="0"/>
        <v>41.37962962962964</v>
      </c>
      <c r="K23" s="182">
        <f t="shared" si="1"/>
        <v>100</v>
      </c>
    </row>
    <row r="24" spans="1:11" x14ac:dyDescent="0.2">
      <c r="A24" s="21"/>
      <c r="B24" s="507">
        <v>31315</v>
      </c>
      <c r="C24" s="543">
        <f>C23</f>
        <v>37.143000000000001</v>
      </c>
      <c r="D24" s="413">
        <v>90</v>
      </c>
      <c r="E24" s="22">
        <v>-0.3</v>
      </c>
      <c r="F24" s="551">
        <v>9114.9850000000006</v>
      </c>
      <c r="G24" s="552">
        <v>-220.154</v>
      </c>
      <c r="H24" s="371"/>
      <c r="I24" s="10" t="s">
        <v>1</v>
      </c>
      <c r="J24" s="183">
        <f t="shared" si="0"/>
        <v>41.37962962962964</v>
      </c>
      <c r="K24" s="184">
        <f t="shared" si="1"/>
        <v>100</v>
      </c>
    </row>
    <row r="25" spans="1:11" s="11" customFormat="1" x14ac:dyDescent="0.2">
      <c r="A25" s="540" t="s">
        <v>272</v>
      </c>
      <c r="B25" s="123">
        <v>31400</v>
      </c>
      <c r="C25" s="450">
        <v>216.47300000000001</v>
      </c>
      <c r="D25" s="412">
        <v>90</v>
      </c>
      <c r="E25" s="20">
        <v>1</v>
      </c>
      <c r="F25" s="545">
        <v>9114.2620000000006</v>
      </c>
      <c r="G25" s="546">
        <v>-219.55</v>
      </c>
      <c r="H25" s="370"/>
      <c r="I25" s="10" t="s">
        <v>1</v>
      </c>
      <c r="J25" s="181">
        <f t="shared" si="0"/>
        <v>240.8796296296297</v>
      </c>
      <c r="K25" s="182">
        <f t="shared" si="1"/>
        <v>100</v>
      </c>
    </row>
    <row r="26" spans="1:11" x14ac:dyDescent="0.2">
      <c r="A26" s="21"/>
      <c r="B26" s="507">
        <v>31415</v>
      </c>
      <c r="C26" s="543">
        <f>C25</f>
        <v>216.47300000000001</v>
      </c>
      <c r="D26" s="413">
        <v>90</v>
      </c>
      <c r="E26" s="22">
        <v>-1.1000000000000001</v>
      </c>
      <c r="F26" s="547">
        <v>9113.3610000000008</v>
      </c>
      <c r="G26" s="548">
        <v>-220.24100000000001</v>
      </c>
      <c r="H26" s="371"/>
      <c r="I26" s="10" t="s">
        <v>1</v>
      </c>
      <c r="J26" s="183">
        <f t="shared" si="0"/>
        <v>240.8796296296297</v>
      </c>
      <c r="K26" s="184">
        <f t="shared" si="1"/>
        <v>100</v>
      </c>
    </row>
    <row r="27" spans="1:11" x14ac:dyDescent="0.2">
      <c r="A27" s="23"/>
      <c r="B27" s="161"/>
      <c r="C27" s="162"/>
      <c r="D27" s="163"/>
      <c r="E27" s="164"/>
      <c r="F27" s="165"/>
      <c r="G27" s="165"/>
      <c r="H27" s="166"/>
      <c r="I27" s="10"/>
      <c r="J27" s="163"/>
      <c r="K27" s="163"/>
    </row>
    <row r="28" spans="1:11" x14ac:dyDescent="0.2">
      <c r="A28" s="9" t="s">
        <v>228</v>
      </c>
      <c r="B28" s="161"/>
      <c r="C28" s="162"/>
      <c r="D28" s="163"/>
      <c r="E28" s="164"/>
      <c r="H28" s="9" t="s">
        <v>115</v>
      </c>
      <c r="I28" s="165"/>
      <c r="K28" s="10"/>
    </row>
    <row r="29" spans="1:11" x14ac:dyDescent="0.2">
      <c r="A29" s="568" t="s">
        <v>273</v>
      </c>
      <c r="B29" s="569"/>
      <c r="C29" s="568" t="s">
        <v>274</v>
      </c>
      <c r="D29" s="569"/>
      <c r="E29" s="461" t="s">
        <v>191</v>
      </c>
      <c r="F29" s="463" t="s">
        <v>229</v>
      </c>
      <c r="H29" s="572" t="s">
        <v>118</v>
      </c>
      <c r="I29" s="569"/>
      <c r="J29" s="572" t="s">
        <v>114</v>
      </c>
      <c r="K29" s="569"/>
    </row>
    <row r="30" spans="1:11" x14ac:dyDescent="0.2">
      <c r="A30" s="167" t="str">
        <f>H8</f>
        <v>DMS</v>
      </c>
      <c r="B30" s="189" t="str">
        <f>H8</f>
        <v>DMS</v>
      </c>
      <c r="C30" s="190" t="str">
        <f>H8</f>
        <v>DMS</v>
      </c>
      <c r="D30" s="170" t="str">
        <f>H8</f>
        <v>DMS</v>
      </c>
      <c r="E30" s="462" t="s">
        <v>295</v>
      </c>
      <c r="F30" s="464" t="s">
        <v>230</v>
      </c>
      <c r="H30" s="167" t="s">
        <v>9</v>
      </c>
      <c r="I30" s="168" t="s">
        <v>9</v>
      </c>
      <c r="J30" s="208" t="s">
        <v>9</v>
      </c>
      <c r="K30" s="170" t="s">
        <v>9</v>
      </c>
    </row>
    <row r="31" spans="1:11" x14ac:dyDescent="0.2">
      <c r="A31" s="414">
        <v>10.2707</v>
      </c>
      <c r="B31" s="415">
        <v>10.2705</v>
      </c>
      <c r="C31" s="416">
        <v>190.27160000000001</v>
      </c>
      <c r="D31" s="417">
        <v>190.27170000000001</v>
      </c>
      <c r="E31" s="567">
        <f>(calculations!$H$61)*0.9*3600</f>
        <v>-12.636000000005083</v>
      </c>
      <c r="F31" s="460">
        <f>ROUND(AVERAGE(J19:J26)-200,2)</f>
        <v>-58.88</v>
      </c>
      <c r="H31" s="178">
        <f>IF($H$8="gon",A31,IF($H$8="DM",(TRUNC(A31)+MOD(A31,1)*100/60)/0.9,IF($H$8="DMS",(TRUNC(A31)+TRUNC(MOD(A31,1)*100)/60+MOD(A31*100,1)*100/3600)/0.9,0)))</f>
        <v>11.613271604938268</v>
      </c>
      <c r="I31" s="179">
        <f>IF($H$8="gon",B31,IF($H$8="DM",(TRUNC(B31)+MOD(B31,1)*100/60)/0.9,IF($H$8="DMS",(TRUNC(B31)+TRUNC(MOD(B31,1)*100)/60+MOD(B31*100,1)*100/3600)/0.9,0)))</f>
        <v>11.612654320987653</v>
      </c>
      <c r="J31" s="178">
        <f>IF($H$8="gon",C31,IF($H$8="DM",(TRUNC(C31)+MOD(C31,1)*100/60)/0.9,IF($H$8="DMS",(TRUNC(C31)+TRUNC(MOD(C31,1)*100)/60+MOD(C31*100,1)*100/3600)/0.9,0)))</f>
        <v>211.61604938271603</v>
      </c>
      <c r="K31" s="179">
        <f>IF($H$8="gon",D31,IF($H$8="DM",(TRUNC(D31)+MOD(D31,1)*100/60)/0.9,IF($H$8="DMS",(TRUNC(D31)+TRUNC(MOD(D31,1)*100)/60+MOD(D31*100,1)*100/3600)/0.9,0)))</f>
        <v>211.61635802469141</v>
      </c>
    </row>
    <row r="32" spans="1:11" x14ac:dyDescent="0.2">
      <c r="A32" s="23"/>
      <c r="B32" s="24"/>
      <c r="C32" s="25"/>
      <c r="D32" s="26"/>
      <c r="E32" s="27"/>
      <c r="F32" s="24"/>
      <c r="G32" s="24"/>
      <c r="H32" s="18"/>
      <c r="I32" s="18"/>
      <c r="J32" s="17"/>
      <c r="K32" s="26"/>
    </row>
    <row r="33" spans="1:11" x14ac:dyDescent="0.2">
      <c r="A33" s="9" t="s">
        <v>119</v>
      </c>
      <c r="B33" s="7"/>
      <c r="C33" s="10" t="s">
        <v>1</v>
      </c>
      <c r="D33" s="10" t="s">
        <v>1</v>
      </c>
      <c r="E33" s="10" t="s">
        <v>1</v>
      </c>
      <c r="F33" s="10" t="s">
        <v>1</v>
      </c>
      <c r="G33" s="10" t="s">
        <v>1</v>
      </c>
      <c r="H33" s="18" t="s">
        <v>1</v>
      </c>
      <c r="I33" s="275"/>
      <c r="J33" s="570" t="s">
        <v>224</v>
      </c>
      <c r="K33" s="571"/>
    </row>
    <row r="34" spans="1:11" x14ac:dyDescent="0.2">
      <c r="A34" s="144" t="s">
        <v>10</v>
      </c>
      <c r="B34" s="145" t="s">
        <v>2</v>
      </c>
      <c r="C34" s="457" t="s">
        <v>11</v>
      </c>
      <c r="D34" s="141"/>
      <c r="E34" s="40"/>
      <c r="F34" s="458" t="s">
        <v>117</v>
      </c>
      <c r="G34" s="137"/>
      <c r="H34" s="138"/>
      <c r="I34" s="274"/>
      <c r="J34" s="277"/>
      <c r="K34" s="40"/>
    </row>
    <row r="35" spans="1:11" x14ac:dyDescent="0.2">
      <c r="A35" s="48"/>
      <c r="B35" s="140" t="s">
        <v>217</v>
      </c>
      <c r="C35" s="151" t="s">
        <v>13</v>
      </c>
      <c r="D35" s="151" t="s">
        <v>14</v>
      </c>
      <c r="E35" s="139" t="s">
        <v>15</v>
      </c>
      <c r="F35" s="135" t="s">
        <v>16</v>
      </c>
      <c r="G35" s="135" t="s">
        <v>17</v>
      </c>
      <c r="H35" s="136" t="s">
        <v>18</v>
      </c>
      <c r="I35" s="153"/>
      <c r="J35" s="152" t="s">
        <v>225</v>
      </c>
      <c r="K35" s="153" t="s">
        <v>226</v>
      </c>
    </row>
    <row r="36" spans="1:11" x14ac:dyDescent="0.2">
      <c r="A36" s="19" t="s">
        <v>1</v>
      </c>
      <c r="B36" s="36"/>
      <c r="C36" s="118" t="str">
        <f>H8</f>
        <v>DMS</v>
      </c>
      <c r="D36" s="118" t="str">
        <f>H8</f>
        <v>DMS</v>
      </c>
      <c r="E36" s="1" t="s">
        <v>1</v>
      </c>
      <c r="F36" s="130"/>
      <c r="G36" s="130"/>
      <c r="H36" s="95"/>
      <c r="I36" s="276"/>
      <c r="J36" s="37" t="s">
        <v>9</v>
      </c>
      <c r="K36" s="37" t="s">
        <v>9</v>
      </c>
    </row>
    <row r="37" spans="1:11" s="11" customFormat="1" x14ac:dyDescent="0.2">
      <c r="A37" s="540" t="s">
        <v>280</v>
      </c>
      <c r="B37" s="123">
        <v>31945</v>
      </c>
      <c r="C37" s="411">
        <v>127.00149999999999</v>
      </c>
      <c r="D37" s="450">
        <v>261.06299999999999</v>
      </c>
      <c r="E37" s="20">
        <v>-1.4</v>
      </c>
      <c r="F37" s="528">
        <f t="shared" ref="F37:H41" si="2">C50</f>
        <v>9117.5419999999995</v>
      </c>
      <c r="G37" s="529">
        <f t="shared" si="2"/>
        <v>-219.03399999999999</v>
      </c>
      <c r="H37" s="530">
        <f t="shared" si="2"/>
        <v>56850.294999999998</v>
      </c>
      <c r="I37" s="276"/>
      <c r="J37" s="185">
        <f>IF($H$8="gon",C37,IF($H$8="DM",(TRUNC(C37)+MOD(C37,1)*100/60)/0.9,IF($H$8="DMS",(TRUNC(C37)+TRUNC(MOD(C37,1)*100)/60+MOD(C37*100,1)*100/3600)/0.9,0)))</f>
        <v>141.11574074074073</v>
      </c>
      <c r="K37" s="185">
        <f t="shared" ref="K37:K42" si="3">IF($H$8="gon",D37,IF($H$8="DM",(TRUNC(D37)+MOD(D37,1)*100/60)/0.9,IF($H$8="DMS",(TRUNC(D37)+TRUNC(MOD(D37,1)*100)/60+MOD(D37*100,1)*100/3600)/0.9,0)))</f>
        <v>290.12037037037038</v>
      </c>
    </row>
    <row r="38" spans="1:11" s="11" customFormat="1" x14ac:dyDescent="0.2">
      <c r="A38" s="21"/>
      <c r="B38" s="507">
        <v>32000</v>
      </c>
      <c r="C38" s="418"/>
      <c r="D38" s="543">
        <f>D37</f>
        <v>261.06299999999999</v>
      </c>
      <c r="E38" s="22">
        <v>-1.6</v>
      </c>
      <c r="F38" s="531">
        <f t="shared" si="2"/>
        <v>9117.3340000000007</v>
      </c>
      <c r="G38" s="532">
        <f t="shared" si="2"/>
        <v>-218.886</v>
      </c>
      <c r="H38" s="533">
        <f t="shared" si="2"/>
        <v>56850.267</v>
      </c>
      <c r="I38" s="276"/>
      <c r="J38" s="186"/>
      <c r="K38" s="187">
        <f t="shared" si="3"/>
        <v>290.12037037037038</v>
      </c>
    </row>
    <row r="39" spans="1:11" s="11" customFormat="1" x14ac:dyDescent="0.2">
      <c r="A39" s="540" t="s">
        <v>281</v>
      </c>
      <c r="B39" s="123">
        <v>32045</v>
      </c>
      <c r="C39" s="412">
        <f>C37</f>
        <v>127.00149999999999</v>
      </c>
      <c r="D39" s="450">
        <v>81.052999999999997</v>
      </c>
      <c r="E39" s="20">
        <v>0.2</v>
      </c>
      <c r="F39" s="528">
        <f t="shared" si="2"/>
        <v>9121.982</v>
      </c>
      <c r="G39" s="529">
        <f t="shared" si="2"/>
        <v>-217.50700000000001</v>
      </c>
      <c r="H39" s="530">
        <f t="shared" si="2"/>
        <v>56849.243000000002</v>
      </c>
      <c r="I39" s="276"/>
      <c r="J39" s="185">
        <f>IF($H$8="gon",C39,IF($H$8="DM",(TRUNC(C39)+MOD(C39,1)*100/60)/0.9,IF($H$8="DMS",(TRUNC(C39)+TRUNC(MOD(C39,1)*100)/60+MOD(C39*100,1)*100/3600)/0.9,0)))</f>
        <v>141.11574074074073</v>
      </c>
      <c r="K39" s="185">
        <f t="shared" si="3"/>
        <v>90.101851851851819</v>
      </c>
    </row>
    <row r="40" spans="1:11" s="11" customFormat="1" x14ac:dyDescent="0.2">
      <c r="A40" s="21"/>
      <c r="B40" s="507">
        <v>32100</v>
      </c>
      <c r="C40" s="418"/>
      <c r="D40" s="543">
        <f>D39</f>
        <v>81.052999999999997</v>
      </c>
      <c r="E40" s="22">
        <v>0.5</v>
      </c>
      <c r="F40" s="534">
        <f t="shared" si="2"/>
        <v>9124.1119999999992</v>
      </c>
      <c r="G40" s="535">
        <f t="shared" si="2"/>
        <v>-217.58699999999999</v>
      </c>
      <c r="H40" s="536">
        <f t="shared" si="2"/>
        <v>56848.766000000003</v>
      </c>
      <c r="I40" s="276"/>
      <c r="J40" s="186"/>
      <c r="K40" s="187">
        <f t="shared" si="3"/>
        <v>90.101851851851819</v>
      </c>
    </row>
    <row r="41" spans="1:11" s="11" customFormat="1" x14ac:dyDescent="0.2">
      <c r="A41" s="540" t="s">
        <v>282</v>
      </c>
      <c r="B41" s="123">
        <v>32300</v>
      </c>
      <c r="C41" s="412">
        <f>C37+180</f>
        <v>307.00149999999996</v>
      </c>
      <c r="D41" s="450">
        <v>98.582999999999998</v>
      </c>
      <c r="E41" s="20">
        <v>-5</v>
      </c>
      <c r="F41" s="537">
        <f t="shared" si="2"/>
        <v>9142.4480000000003</v>
      </c>
      <c r="G41" s="538">
        <f t="shared" si="2"/>
        <v>-210.51</v>
      </c>
      <c r="H41" s="539">
        <f t="shared" si="2"/>
        <v>56845.451000000001</v>
      </c>
      <c r="I41" s="276"/>
      <c r="J41" s="185">
        <f>IF($H$8="gon",C41,IF($H$8="DM",(TRUNC(C41)+MOD(C41,1)*100/60)/0.9,IF($H$8="DMS",(TRUNC(C41)+TRUNC(MOD(C41,1)*100)/60+MOD(C41*100,1)*100/3600)/0.9,0)))</f>
        <v>341.11574074074065</v>
      </c>
      <c r="K41" s="185">
        <f t="shared" si="3"/>
        <v>109.9722222222222</v>
      </c>
    </row>
    <row r="42" spans="1:11" s="11" customFormat="1" x14ac:dyDescent="0.2">
      <c r="A42" s="21"/>
      <c r="B42" s="507">
        <v>32315</v>
      </c>
      <c r="C42" s="418"/>
      <c r="D42" s="543">
        <f>D41</f>
        <v>98.582999999999998</v>
      </c>
      <c r="E42" s="22">
        <v>-5</v>
      </c>
      <c r="F42" s="531">
        <f t="shared" ref="F42:H45" si="4">C55</f>
        <v>9143.8410000000003</v>
      </c>
      <c r="G42" s="532">
        <f t="shared" si="4"/>
        <v>-211.173</v>
      </c>
      <c r="H42" s="533">
        <f t="shared" si="4"/>
        <v>56844.718000000001</v>
      </c>
      <c r="I42" s="276"/>
      <c r="J42" s="186"/>
      <c r="K42" s="187">
        <f t="shared" si="3"/>
        <v>109.9722222222222</v>
      </c>
    </row>
    <row r="43" spans="1:11" s="11" customFormat="1" x14ac:dyDescent="0.2">
      <c r="A43" s="540" t="s">
        <v>283</v>
      </c>
      <c r="B43" s="123">
        <v>32400</v>
      </c>
      <c r="C43" s="419">
        <f>C41</f>
        <v>307.00149999999996</v>
      </c>
      <c r="D43" s="544">
        <v>278.59300000000002</v>
      </c>
      <c r="E43" s="20">
        <v>-0.7</v>
      </c>
      <c r="F43" s="528">
        <f>C56</f>
        <v>9144.9439999999995</v>
      </c>
      <c r="G43" s="529">
        <f t="shared" si="4"/>
        <v>-213.69200000000001</v>
      </c>
      <c r="H43" s="530">
        <f t="shared" si="4"/>
        <v>56842.097000000002</v>
      </c>
      <c r="I43" s="276"/>
      <c r="J43" s="185">
        <f>IF($H$8="gon",C43,IF($H$8="DM",(TRUNC(C43)+MOD(C43,1)*100/60)/0.9,IF($H$8="DMS",(TRUNC(C43)+TRUNC(MOD(C43,1)*100)/60+MOD(C43*100,1)*100/3600)/0.9,0)))</f>
        <v>341.11574074074065</v>
      </c>
      <c r="K43" s="185">
        <f>IF($H$8="gon",D43,IF($H$8="DM",(TRUNC(D43)+MOD(D43,1)*100/60)/0.9,IF($H$8="DMS",(TRUNC(D43)+TRUNC(MOD(D43,1)*100)/60+MOD(D43*100,1)*100/3600)/0.9,0)))</f>
        <v>309.99074074074088</v>
      </c>
    </row>
    <row r="44" spans="1:11" s="11" customFormat="1" x14ac:dyDescent="0.2">
      <c r="A44" s="158"/>
      <c r="B44" s="507">
        <v>32415</v>
      </c>
      <c r="C44" s="418"/>
      <c r="D44" s="541">
        <f>D43</f>
        <v>278.59300000000002</v>
      </c>
      <c r="E44" s="22">
        <v>-0.8</v>
      </c>
      <c r="F44" s="534">
        <f t="shared" si="4"/>
        <v>9145.1620000000003</v>
      </c>
      <c r="G44" s="535">
        <f t="shared" si="4"/>
        <v>-213.93199999999999</v>
      </c>
      <c r="H44" s="536">
        <f t="shared" si="4"/>
        <v>56841.411</v>
      </c>
      <c r="I44" s="276"/>
      <c r="J44" s="186"/>
      <c r="K44" s="187">
        <f>IF($H$8="gon",D44,IF($H$8="DM",(TRUNC(D44)+MOD(D44,1)*100/60)/0.9,IF($H$8="DMS",(TRUNC(D44)+TRUNC(MOD(D44,1)*100)/60+MOD(D44*100,1)*100/3600)/0.9,0)))</f>
        <v>309.99074074074088</v>
      </c>
    </row>
    <row r="45" spans="1:11" s="11" customFormat="1" x14ac:dyDescent="0.2">
      <c r="A45" s="21"/>
      <c r="B45" s="507">
        <v>32545</v>
      </c>
      <c r="C45" s="418"/>
      <c r="D45" s="180">
        <f>D44+0.1</f>
        <v>278.69300000000004</v>
      </c>
      <c r="E45" s="22">
        <v>-173.4</v>
      </c>
      <c r="F45" s="534">
        <f t="shared" si="4"/>
        <v>9143.625</v>
      </c>
      <c r="G45" s="535">
        <f t="shared" si="4"/>
        <v>-211.387</v>
      </c>
      <c r="H45" s="536">
        <f t="shared" si="4"/>
        <v>56840.101999999999</v>
      </c>
      <c r="I45" s="276"/>
      <c r="J45" s="186"/>
      <c r="K45" s="187">
        <f>IF($H$8="gon",D45,IF($H$8="DM",(TRUNC(D45)+MOD(D45,1)*100/60)/0.9,IF($H$8="DMS",(TRUNC(D45)+TRUNC(MOD(D45,1)*100)/60+MOD(D45*100,1)*100/3600)/0.9,0)))</f>
        <v>310.17592592592604</v>
      </c>
    </row>
    <row r="46" spans="1:11" x14ac:dyDescent="0.2">
      <c r="A46" s="23"/>
      <c r="B46" s="13"/>
      <c r="C46" s="26"/>
      <c r="D46" s="25"/>
      <c r="E46" s="28"/>
      <c r="F46" s="13"/>
      <c r="G46" s="13"/>
      <c r="H46" s="13"/>
      <c r="I46" s="10" t="s">
        <v>1</v>
      </c>
      <c r="J46" s="10" t="s">
        <v>1</v>
      </c>
      <c r="K46" s="10" t="s">
        <v>1</v>
      </c>
    </row>
    <row r="47" spans="1:11" x14ac:dyDescent="0.2">
      <c r="A47" s="9" t="s">
        <v>120</v>
      </c>
      <c r="B47" s="2"/>
      <c r="C47" s="2"/>
      <c r="D47" s="2"/>
      <c r="E47" s="2"/>
      <c r="F47" s="2"/>
      <c r="G47" s="2"/>
      <c r="H47" s="9" t="s">
        <v>246</v>
      </c>
      <c r="I47" s="2"/>
      <c r="J47" s="2"/>
      <c r="K47" s="2"/>
    </row>
    <row r="48" spans="1:11" s="30" customFormat="1" x14ac:dyDescent="0.2">
      <c r="A48" s="146" t="s">
        <v>2</v>
      </c>
      <c r="B48" s="149" t="s">
        <v>20</v>
      </c>
      <c r="C48" s="142" t="s">
        <v>121</v>
      </c>
      <c r="D48" s="137"/>
      <c r="E48" s="138"/>
      <c r="F48" s="7" t="s">
        <v>21</v>
      </c>
      <c r="G48" s="29"/>
      <c r="H48" s="146" t="s">
        <v>2</v>
      </c>
      <c r="I48" s="142" t="s">
        <v>122</v>
      </c>
      <c r="J48" s="39"/>
      <c r="K48" s="40"/>
    </row>
    <row r="49" spans="1:11" x14ac:dyDescent="0.2">
      <c r="A49" s="119" t="s">
        <v>217</v>
      </c>
      <c r="B49" s="37" t="s">
        <v>22</v>
      </c>
      <c r="C49" s="130" t="s">
        <v>23</v>
      </c>
      <c r="D49" s="130" t="s">
        <v>24</v>
      </c>
      <c r="E49" s="95" t="s">
        <v>18</v>
      </c>
      <c r="F49" s="7"/>
      <c r="G49" s="2"/>
      <c r="H49" s="119" t="s">
        <v>12</v>
      </c>
      <c r="I49" s="130" t="s">
        <v>23</v>
      </c>
      <c r="J49" s="130" t="s">
        <v>24</v>
      </c>
      <c r="K49" s="95" t="s">
        <v>18</v>
      </c>
    </row>
    <row r="50" spans="1:11" s="11" customFormat="1" x14ac:dyDescent="0.2">
      <c r="A50" s="553">
        <f t="shared" ref="A50:A58" si="5">B37</f>
        <v>31945</v>
      </c>
      <c r="B50" s="546">
        <v>57585.41</v>
      </c>
      <c r="C50" s="554">
        <v>9117.5419999999995</v>
      </c>
      <c r="D50" s="554">
        <v>-219.03399999999999</v>
      </c>
      <c r="E50" s="546">
        <v>56850.294999999998</v>
      </c>
      <c r="F50" s="7" t="s">
        <v>21</v>
      </c>
      <c r="G50" s="2"/>
      <c r="H50" s="122">
        <f>B19</f>
        <v>30600</v>
      </c>
      <c r="I50" s="367"/>
      <c r="J50" s="365"/>
      <c r="K50" s="364"/>
    </row>
    <row r="51" spans="1:11" s="11" customFormat="1" x14ac:dyDescent="0.2">
      <c r="A51" s="555">
        <f t="shared" si="5"/>
        <v>32000</v>
      </c>
      <c r="B51" s="550">
        <v>57585.35</v>
      </c>
      <c r="C51" s="556">
        <v>9117.3340000000007</v>
      </c>
      <c r="D51" s="556">
        <v>-218.886</v>
      </c>
      <c r="E51" s="550">
        <v>56850.267</v>
      </c>
      <c r="F51" s="7" t="s">
        <v>21</v>
      </c>
      <c r="G51" s="2"/>
      <c r="H51" s="508">
        <f>B20</f>
        <v>30615</v>
      </c>
      <c r="I51" s="368"/>
      <c r="J51" s="366"/>
      <c r="K51" s="358"/>
    </row>
    <row r="52" spans="1:11" s="11" customFormat="1" x14ac:dyDescent="0.2">
      <c r="A52" s="555">
        <f t="shared" si="5"/>
        <v>32045</v>
      </c>
      <c r="B52" s="550">
        <v>57585.03</v>
      </c>
      <c r="C52" s="556">
        <v>9121.982</v>
      </c>
      <c r="D52" s="556">
        <v>-217.50700000000001</v>
      </c>
      <c r="E52" s="550">
        <v>56849.243000000002</v>
      </c>
      <c r="F52" s="7"/>
      <c r="G52" s="2"/>
      <c r="H52" s="514"/>
      <c r="I52" s="515"/>
      <c r="J52" s="515"/>
      <c r="K52" s="515"/>
    </row>
    <row r="53" spans="1:11" s="11" customFormat="1" x14ac:dyDescent="0.2">
      <c r="A53" s="555">
        <f t="shared" si="5"/>
        <v>32100</v>
      </c>
      <c r="B53" s="550">
        <v>57584.92</v>
      </c>
      <c r="C53" s="556">
        <v>9124.1119999999992</v>
      </c>
      <c r="D53" s="556">
        <v>-217.58699999999999</v>
      </c>
      <c r="E53" s="550">
        <v>56848.766000000003</v>
      </c>
      <c r="F53" s="7"/>
      <c r="G53" s="2"/>
      <c r="H53" s="514"/>
      <c r="I53" s="515"/>
      <c r="J53" s="515"/>
      <c r="K53" s="515"/>
    </row>
    <row r="54" spans="1:11" s="11" customFormat="1" x14ac:dyDescent="0.2">
      <c r="A54" s="557">
        <f t="shared" si="5"/>
        <v>32300</v>
      </c>
      <c r="B54" s="552">
        <v>57584.43</v>
      </c>
      <c r="C54" s="558">
        <v>9142.4480000000003</v>
      </c>
      <c r="D54" s="558">
        <v>-210.51</v>
      </c>
      <c r="E54" s="552">
        <v>56845.451000000001</v>
      </c>
      <c r="F54" s="7"/>
      <c r="G54" s="2"/>
      <c r="H54" s="514"/>
      <c r="I54" s="515"/>
      <c r="J54" s="515"/>
      <c r="K54" s="515"/>
    </row>
    <row r="55" spans="1:11" s="11" customFormat="1" x14ac:dyDescent="0.2">
      <c r="A55" s="559">
        <f t="shared" si="5"/>
        <v>32315</v>
      </c>
      <c r="B55" s="560">
        <v>57583.93</v>
      </c>
      <c r="C55" s="561">
        <v>9143.8410000000003</v>
      </c>
      <c r="D55" s="561">
        <v>-211.173</v>
      </c>
      <c r="E55" s="560">
        <v>56844.718000000001</v>
      </c>
      <c r="F55" s="7"/>
      <c r="G55" s="2"/>
      <c r="H55" s="514"/>
      <c r="I55" s="515"/>
      <c r="J55" s="515"/>
      <c r="K55" s="515"/>
    </row>
    <row r="56" spans="1:11" x14ac:dyDescent="0.2">
      <c r="A56" s="555">
        <f t="shared" si="5"/>
        <v>32400</v>
      </c>
      <c r="B56" s="550">
        <v>57581.64</v>
      </c>
      <c r="C56" s="556">
        <v>9144.9439999999995</v>
      </c>
      <c r="D56" s="556">
        <v>-213.69200000000001</v>
      </c>
      <c r="E56" s="550">
        <v>56842.097000000002</v>
      </c>
      <c r="F56" s="7" t="s">
        <v>21</v>
      </c>
      <c r="G56" s="10" t="s">
        <v>1</v>
      </c>
      <c r="H56" s="10" t="s">
        <v>1</v>
      </c>
      <c r="I56" s="10" t="s">
        <v>1</v>
      </c>
      <c r="J56" s="10" t="s">
        <v>1</v>
      </c>
      <c r="K56" s="10" t="s">
        <v>1</v>
      </c>
    </row>
    <row r="57" spans="1:11" x14ac:dyDescent="0.2">
      <c r="A57" s="555">
        <f t="shared" si="5"/>
        <v>32415</v>
      </c>
      <c r="B57" s="550">
        <v>57581.01</v>
      </c>
      <c r="C57" s="556">
        <v>9145.1620000000003</v>
      </c>
      <c r="D57" s="556">
        <v>-213.93199999999999</v>
      </c>
      <c r="E57" s="550">
        <v>56841.411</v>
      </c>
      <c r="F57" s="7" t="s">
        <v>1</v>
      </c>
      <c r="G57" s="2"/>
      <c r="H57" s="9" t="s">
        <v>123</v>
      </c>
      <c r="I57" s="2"/>
      <c r="J57" s="2"/>
      <c r="K57" s="2"/>
    </row>
    <row r="58" spans="1:11" x14ac:dyDescent="0.2">
      <c r="A58" s="562">
        <f t="shared" si="5"/>
        <v>32545</v>
      </c>
      <c r="B58" s="548">
        <v>57579.45</v>
      </c>
      <c r="C58" s="563">
        <v>9143.625</v>
      </c>
      <c r="D58" s="563">
        <v>-211.387</v>
      </c>
      <c r="E58" s="548">
        <v>56840.101999999999</v>
      </c>
      <c r="F58" s="7" t="s">
        <v>21</v>
      </c>
      <c r="G58" s="2"/>
      <c r="H58" s="147" t="s">
        <v>129</v>
      </c>
      <c r="I58" s="121" t="s">
        <v>25</v>
      </c>
      <c r="J58" s="121" t="s">
        <v>26</v>
      </c>
      <c r="K58" s="41" t="s">
        <v>27</v>
      </c>
    </row>
    <row r="59" spans="1:11" s="11" customFormat="1" x14ac:dyDescent="0.2">
      <c r="A59" s="120" t="s">
        <v>127</v>
      </c>
      <c r="B59" s="31">
        <f>AVERAGE(B50:B58)</f>
        <v>57583.46333333334</v>
      </c>
      <c r="C59" s="359">
        <f>AVERAGE(C50:C58)</f>
        <v>9133.4433333333345</v>
      </c>
      <c r="D59" s="363">
        <f>AVERAGE(D50:D58)</f>
        <v>-214.85644444444443</v>
      </c>
      <c r="E59" s="353">
        <f>AVERAGE(E50:E58)</f>
        <v>56845.816666666673</v>
      </c>
      <c r="F59" s="7" t="s">
        <v>21</v>
      </c>
      <c r="G59" s="2"/>
      <c r="H59" s="99" t="s">
        <v>124</v>
      </c>
      <c r="I59" s="356"/>
      <c r="J59" s="356"/>
      <c r="K59" s="357"/>
    </row>
    <row r="60" spans="1:11" s="11" customFormat="1" x14ac:dyDescent="0.2">
      <c r="A60" s="573" t="s">
        <v>128</v>
      </c>
      <c r="B60" s="574"/>
      <c r="C60" s="354">
        <f>C59*calculations!B24</f>
        <v>9133.4433333333345</v>
      </c>
      <c r="D60" s="355">
        <f>D59*calculations!B25</f>
        <v>-214.85644444444443</v>
      </c>
      <c r="E60" s="360">
        <f>E59*calculations!B26</f>
        <v>56845.816666666673</v>
      </c>
      <c r="F60" s="7" t="s">
        <v>21</v>
      </c>
      <c r="G60" s="2"/>
      <c r="H60" s="47" t="s">
        <v>125</v>
      </c>
      <c r="I60" s="356"/>
      <c r="J60" s="369"/>
      <c r="K60" s="358"/>
    </row>
    <row r="61" spans="1:11" x14ac:dyDescent="0.2">
      <c r="B61" s="2"/>
      <c r="C61" s="2"/>
      <c r="E61" s="2"/>
      <c r="F61" s="7" t="s">
        <v>21</v>
      </c>
      <c r="G61" s="2"/>
      <c r="H61" s="350" t="s">
        <v>126</v>
      </c>
      <c r="I61" s="351"/>
      <c r="J61" s="389">
        <v>19.7</v>
      </c>
      <c r="K61" s="2"/>
    </row>
    <row r="62" spans="1:11" x14ac:dyDescent="0.2">
      <c r="A62" s="9" t="s">
        <v>130</v>
      </c>
      <c r="B62" s="177"/>
      <c r="C62" s="247"/>
      <c r="D62" s="177"/>
      <c r="E62" s="248" t="s">
        <v>0</v>
      </c>
      <c r="F62" s="23"/>
      <c r="G62" s="173"/>
      <c r="H62" s="209"/>
      <c r="K62" s="163"/>
    </row>
    <row r="63" spans="1:11" x14ac:dyDescent="0.2">
      <c r="A63" s="174"/>
      <c r="B63" s="175"/>
      <c r="C63" s="175"/>
      <c r="D63" s="175"/>
      <c r="E63" s="175"/>
      <c r="F63" s="175"/>
      <c r="G63" s="175"/>
      <c r="H63" s="175"/>
      <c r="I63" s="175"/>
      <c r="J63" s="175"/>
      <c r="K63" s="315"/>
    </row>
    <row r="64" spans="1:11" x14ac:dyDescent="0.2">
      <c r="A64" s="176"/>
      <c r="B64" s="177"/>
      <c r="C64" s="177"/>
      <c r="D64" s="177"/>
      <c r="E64" s="177"/>
      <c r="F64" s="177"/>
      <c r="G64" s="177"/>
      <c r="H64" s="177"/>
      <c r="I64" s="177"/>
      <c r="J64" s="177"/>
      <c r="K64" s="316"/>
    </row>
    <row r="65" spans="1:11" x14ac:dyDescent="0.2">
      <c r="A65" s="317"/>
      <c r="B65" s="318"/>
      <c r="C65" s="318"/>
      <c r="D65" s="318"/>
      <c r="E65" s="318"/>
      <c r="F65" s="318"/>
      <c r="G65" s="318"/>
      <c r="H65" s="318"/>
      <c r="I65" s="318"/>
      <c r="J65" s="318"/>
      <c r="K65" s="319"/>
    </row>
    <row r="66" spans="1:1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">
      <c r="C67" s="2"/>
      <c r="D67" s="2"/>
      <c r="E67" s="2"/>
      <c r="F67" s="2"/>
      <c r="I67" s="2"/>
      <c r="J67" s="2"/>
      <c r="K67" s="2"/>
    </row>
  </sheetData>
  <mergeCells count="11">
    <mergeCell ref="A60:B60"/>
    <mergeCell ref="H29:I29"/>
    <mergeCell ref="A29:B29"/>
    <mergeCell ref="C29:D29"/>
    <mergeCell ref="J15:K15"/>
    <mergeCell ref="A11:B11"/>
    <mergeCell ref="C11:D11"/>
    <mergeCell ref="J33:K33"/>
    <mergeCell ref="H11:I11"/>
    <mergeCell ref="J11:K11"/>
    <mergeCell ref="J29:K29"/>
  </mergeCells>
  <phoneticPr fontId="0" type="noConversion"/>
  <conditionalFormatting sqref="B19:B26 A13:D13 C19 C21 C23 C25 E19:E26 A31:D31 B37:B45 C37 E37:E45 D43 D41 D39 D37 C8">
    <cfRule type="expression" dxfId="0" priority="1">
      <formula>ISBLANK(A8)</formula>
    </cfRule>
  </conditionalFormatting>
  <printOptions horizontalCentered="1"/>
  <pageMargins left="0.39370078740157483" right="0.47244094488188981" top="0.39370078740157483" bottom="0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2_Click">
                <anchor moveWithCells="1" sizeWithCells="1">
                  <from>
                    <xdr:col>12</xdr:col>
                    <xdr:colOff>47625</xdr:colOff>
                    <xdr:row>4</xdr:row>
                    <xdr:rowOff>133350</xdr:rowOff>
                  </from>
                  <to>
                    <xdr:col>14</xdr:col>
                    <xdr:colOff>333375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1"/>
  <sheetViews>
    <sheetView showGridLines="0" zoomScale="130" workbookViewId="0">
      <selection sqref="A1:E1"/>
    </sheetView>
  </sheetViews>
  <sheetFormatPr defaultColWidth="8.5703125" defaultRowHeight="12.75" x14ac:dyDescent="0.2"/>
  <cols>
    <col min="1" max="1" width="8.28515625" style="86" customWidth="1"/>
    <col min="2" max="2" width="8.5703125" style="86" customWidth="1"/>
    <col min="3" max="3" width="9.85546875" style="86" customWidth="1"/>
    <col min="4" max="4" width="8.5703125" style="86" customWidth="1"/>
    <col min="5" max="5" width="9.85546875" style="86" customWidth="1"/>
    <col min="6" max="6" width="9.28515625" style="86" customWidth="1"/>
    <col min="7" max="7" width="10.85546875" style="86" customWidth="1"/>
    <col min="8" max="8" width="9" style="86" customWidth="1"/>
    <col min="9" max="9" width="8.85546875" style="86" customWidth="1"/>
    <col min="10" max="10" width="8.42578125" style="86" customWidth="1"/>
    <col min="11" max="11" width="9.42578125" style="86" customWidth="1"/>
    <col min="12" max="16384" width="8.5703125" style="86"/>
  </cols>
  <sheetData>
    <row r="1" spans="1:11" s="11" customFormat="1" ht="20.25" x14ac:dyDescent="0.3">
      <c r="A1" s="585" t="s">
        <v>140</v>
      </c>
      <c r="B1" s="585"/>
      <c r="C1" s="585"/>
      <c r="D1" s="585"/>
      <c r="E1" s="585"/>
      <c r="F1" s="330"/>
      <c r="G1" s="148" t="s">
        <v>142</v>
      </c>
      <c r="H1" s="331" t="s">
        <v>143</v>
      </c>
      <c r="I1" s="331" t="s">
        <v>108</v>
      </c>
      <c r="J1" s="304" t="s">
        <v>2</v>
      </c>
      <c r="K1" s="148" t="s">
        <v>144</v>
      </c>
    </row>
    <row r="2" spans="1:11" s="11" customFormat="1" x14ac:dyDescent="0.2">
      <c r="A2" s="224"/>
      <c r="B2" s="225"/>
      <c r="C2" s="226"/>
      <c r="D2" s="227"/>
      <c r="E2" s="228"/>
      <c r="F2" s="229"/>
      <c r="G2" s="34" t="s">
        <v>4</v>
      </c>
      <c r="H2" s="118" t="s">
        <v>107</v>
      </c>
      <c r="I2" s="118" t="s">
        <v>100</v>
      </c>
      <c r="J2" s="38" t="s">
        <v>101</v>
      </c>
      <c r="K2" s="34" t="s">
        <v>6</v>
      </c>
    </row>
    <row r="3" spans="1:11" s="3" customFormat="1" x14ac:dyDescent="0.2">
      <c r="A3" s="83"/>
      <c r="B3" s="84"/>
      <c r="C3" s="85"/>
      <c r="D3" s="12"/>
      <c r="E3" s="12"/>
      <c r="F3" s="12"/>
      <c r="G3" s="82" t="str">
        <f>constants!A13</f>
        <v>DED</v>
      </c>
      <c r="H3" s="332">
        <f>measurement!B8</f>
        <v>2014</v>
      </c>
      <c r="I3" s="333">
        <f>measurement!C8</f>
        <v>130</v>
      </c>
      <c r="J3" s="334">
        <f>measurement!D8</f>
        <v>306</v>
      </c>
      <c r="K3" s="335" t="str">
        <f>measurement!E8</f>
        <v>JS</v>
      </c>
    </row>
    <row r="4" spans="1:11" s="3" customFormat="1" x14ac:dyDescent="0.2">
      <c r="A4" s="9" t="s">
        <v>149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s="3" customFormat="1" x14ac:dyDescent="0.2">
      <c r="A5" s="144" t="s">
        <v>10</v>
      </c>
      <c r="B5" s="142" t="s">
        <v>11</v>
      </c>
      <c r="C5" s="143"/>
      <c r="D5" s="40"/>
      <c r="E5" s="149" t="s">
        <v>3</v>
      </c>
      <c r="F5" s="458" t="s">
        <v>141</v>
      </c>
      <c r="G5" s="143"/>
      <c r="H5" s="40"/>
      <c r="I5" s="485" t="s">
        <v>241</v>
      </c>
      <c r="J5" s="142"/>
      <c r="K5" s="40"/>
    </row>
    <row r="6" spans="1:11" x14ac:dyDescent="0.2">
      <c r="A6" s="100"/>
      <c r="B6" s="117" t="s">
        <v>28</v>
      </c>
      <c r="C6" s="117" t="s">
        <v>29</v>
      </c>
      <c r="D6" s="36" t="s">
        <v>90</v>
      </c>
      <c r="E6" s="37" t="s">
        <v>30</v>
      </c>
      <c r="F6" s="130" t="s">
        <v>91</v>
      </c>
      <c r="G6" s="130" t="s">
        <v>92</v>
      </c>
      <c r="H6" s="273" t="s">
        <v>93</v>
      </c>
      <c r="I6" s="130" t="s">
        <v>91</v>
      </c>
      <c r="J6" s="130" t="s">
        <v>92</v>
      </c>
      <c r="K6" s="273" t="s">
        <v>93</v>
      </c>
    </row>
    <row r="7" spans="1:11" s="3" customFormat="1" x14ac:dyDescent="0.2">
      <c r="A7" s="48" t="s">
        <v>146</v>
      </c>
      <c r="B7" s="124">
        <f>IF(measurement!F8=0,NA(),AVERAGE(measurement!H13:'measurement'!I13))</f>
        <v>11.611111111111111</v>
      </c>
      <c r="C7" s="125"/>
      <c r="D7" s="110"/>
      <c r="E7" s="110"/>
      <c r="F7" s="131"/>
      <c r="G7" s="131"/>
      <c r="H7" s="110"/>
      <c r="I7" s="131"/>
      <c r="J7" s="131"/>
      <c r="K7" s="110"/>
    </row>
    <row r="8" spans="1:11" s="3" customFormat="1" x14ac:dyDescent="0.2">
      <c r="A8" s="99" t="s">
        <v>145</v>
      </c>
      <c r="B8" s="126">
        <f>IF(measurement!F8=0,NA(),AVERAGE(measurement!J13:'measurement'!K13))</f>
        <v>211.61033950617281</v>
      </c>
      <c r="C8" s="127"/>
      <c r="D8" s="111"/>
      <c r="E8" s="111"/>
      <c r="F8" s="132"/>
      <c r="G8" s="132"/>
      <c r="H8" s="111"/>
      <c r="I8" s="132"/>
      <c r="J8" s="132"/>
      <c r="K8" s="111"/>
    </row>
    <row r="9" spans="1:11" s="11" customFormat="1" x14ac:dyDescent="0.2">
      <c r="A9" s="48" t="s">
        <v>276</v>
      </c>
      <c r="B9" s="124">
        <f>AVERAGE(measurement!J19:'measurement'!J20)</f>
        <v>240.84259259259258</v>
      </c>
      <c r="C9" s="124">
        <v>100</v>
      </c>
      <c r="D9" s="269">
        <f>AVERAGE(measurement!E19:'measurement'!E20)*C28</f>
        <v>-0.25</v>
      </c>
      <c r="E9" s="110"/>
      <c r="F9" s="271">
        <f>AVERAGE(measurement!F19:'measurement'!F20)*B24</f>
        <v>9105.3454999999994</v>
      </c>
      <c r="G9" s="271">
        <f>AVERAGE(measurement!G19:'measurement'!G20)*B25</f>
        <v>-225.45249999999999</v>
      </c>
      <c r="H9" s="269">
        <f>AVERAGE(measurement!H19:'measurement'!H20)*B26</f>
        <v>56857.675999999999</v>
      </c>
      <c r="I9" s="271" t="e">
        <f>AVERAGE(measurement!I50:'measurement'!I51)*D24</f>
        <v>#DIV/0!</v>
      </c>
      <c r="J9" s="271" t="e">
        <f>AVERAGE(measurement!J50:'measurement'!J51)*D25</f>
        <v>#DIV/0!</v>
      </c>
      <c r="K9" s="269" t="e">
        <f>AVERAGE(measurement!K50:'measurement'!K51)*D26</f>
        <v>#DIV/0!</v>
      </c>
    </row>
    <row r="10" spans="1:11" s="3" customFormat="1" x14ac:dyDescent="0.2">
      <c r="A10" s="48" t="s">
        <v>277</v>
      </c>
      <c r="B10" s="124">
        <f>AVERAGE(measurement!J21:'measurement'!J22)</f>
        <v>41.398148148148138</v>
      </c>
      <c r="C10" s="124">
        <v>100</v>
      </c>
      <c r="D10" s="269">
        <f>AVERAGE(measurement!E21:'measurement'!E22)*C28</f>
        <v>0.45</v>
      </c>
      <c r="E10" s="110"/>
      <c r="F10" s="271">
        <f>AVERAGE(measurement!F21:'measurement'!F22)*B24</f>
        <v>9108.0010000000002</v>
      </c>
      <c r="G10" s="271">
        <f>AVERAGE(measurement!G21:'measurement'!G22)*B25</f>
        <v>-223.04300000000001</v>
      </c>
      <c r="H10" s="112"/>
      <c r="I10" s="134"/>
      <c r="J10" s="134"/>
      <c r="K10" s="113"/>
    </row>
    <row r="11" spans="1:11" s="3" customFormat="1" x14ac:dyDescent="0.2">
      <c r="A11" s="48" t="s">
        <v>278</v>
      </c>
      <c r="B11" s="124">
        <f>AVERAGE(measurement!J23:'measurement'!J24)</f>
        <v>41.37962962962964</v>
      </c>
      <c r="C11" s="124">
        <v>300</v>
      </c>
      <c r="D11" s="269">
        <f>AVERAGE(measurement!E23:'measurement'!E24)*C28</f>
        <v>-0.35</v>
      </c>
      <c r="E11" s="110"/>
      <c r="F11" s="271">
        <f>AVERAGE(measurement!F23:'measurement'!F24)*B24</f>
        <v>9115.1334999999999</v>
      </c>
      <c r="G11" s="271">
        <f>AVERAGE(measurement!G23:'measurement'!G24)*B25</f>
        <v>-220.57999999999998</v>
      </c>
      <c r="H11" s="114"/>
      <c r="I11" s="131"/>
      <c r="J11" s="131"/>
      <c r="K11" s="110"/>
    </row>
    <row r="12" spans="1:11" s="3" customFormat="1" x14ac:dyDescent="0.2">
      <c r="A12" s="99" t="s">
        <v>279</v>
      </c>
      <c r="B12" s="126">
        <f>AVERAGE(measurement!J25:'measurement'!J26)</f>
        <v>240.8796296296297</v>
      </c>
      <c r="C12" s="126">
        <v>300</v>
      </c>
      <c r="D12" s="270">
        <f>AVERAGE(measurement!E25:'measurement'!E26)*C28</f>
        <v>-5.0000000000000044E-2</v>
      </c>
      <c r="E12" s="111"/>
      <c r="F12" s="272">
        <f>AVERAGE(measurement!F25:'measurement'!F26)*B24</f>
        <v>9113.8114999999998</v>
      </c>
      <c r="G12" s="272">
        <f>AVERAGE(measurement!G25:'measurement'!G26)*B25</f>
        <v>-219.89550000000003</v>
      </c>
      <c r="H12" s="115"/>
      <c r="I12" s="132"/>
      <c r="J12" s="132"/>
      <c r="K12" s="111"/>
    </row>
    <row r="13" spans="1:11" s="3" customFormat="1" x14ac:dyDescent="0.2">
      <c r="A13" s="48" t="s">
        <v>146</v>
      </c>
      <c r="B13" s="124">
        <f>IF(measurement!F8=0,NA(),AVERAGE(measurement!H31:'measurement'!I31))</f>
        <v>11.61296296296296</v>
      </c>
      <c r="C13" s="125"/>
      <c r="D13" s="110"/>
      <c r="E13" s="110"/>
      <c r="F13" s="131"/>
      <c r="G13" s="131"/>
      <c r="H13" s="110"/>
      <c r="I13" s="131"/>
      <c r="J13" s="131"/>
      <c r="K13" s="110"/>
    </row>
    <row r="14" spans="1:11" s="3" customFormat="1" x14ac:dyDescent="0.2">
      <c r="A14" s="47" t="s">
        <v>145</v>
      </c>
      <c r="B14" s="128">
        <f>IF(measurement!F8=0,NA(),AVERAGE(measurement!J31:'measurement'!K31))</f>
        <v>211.61620370370372</v>
      </c>
      <c r="C14" s="129"/>
      <c r="D14" s="116"/>
      <c r="E14" s="116"/>
      <c r="F14" s="133"/>
      <c r="G14" s="133"/>
      <c r="H14" s="116"/>
      <c r="I14" s="133"/>
      <c r="J14" s="133"/>
      <c r="K14" s="116"/>
    </row>
    <row r="15" spans="1:11" s="3" customFormat="1" x14ac:dyDescent="0.2">
      <c r="A15" s="48" t="s">
        <v>284</v>
      </c>
      <c r="B15" s="124">
        <f>measurement!J37</f>
        <v>141.11574074074073</v>
      </c>
      <c r="C15" s="124">
        <f>AVERAGE(measurement!K37:'measurement'!K38)</f>
        <v>290.12037037037038</v>
      </c>
      <c r="D15" s="269">
        <f>AVERAGE(measurement!E37:'measurement'!E38)*C28</f>
        <v>-1.5</v>
      </c>
      <c r="E15" s="269">
        <f ca="1">measurement!B59+(F15-measurement!C60)*COS(B37*PI()/200)+(H15-measurement!E60)*SIN(B37*PI()/200)+(G15^2-(measurement!D60)^2)/(2*measurement!B59)</f>
        <v>57585.400742524493</v>
      </c>
      <c r="F15" s="271">
        <f>AVERAGE(measurement!F37:'measurement'!F38)*B24</f>
        <v>9117.4380000000001</v>
      </c>
      <c r="G15" s="271">
        <f>AVERAGE(measurement!G37:'measurement'!G38)*B25</f>
        <v>-218.95999999999998</v>
      </c>
      <c r="H15" s="269">
        <f>AVERAGE(measurement!H37:'measurement'!H38)*B26</f>
        <v>56850.281000000003</v>
      </c>
      <c r="I15" s="131"/>
      <c r="J15" s="131"/>
      <c r="K15" s="110"/>
    </row>
    <row r="16" spans="1:11" s="3" customFormat="1" x14ac:dyDescent="0.2">
      <c r="A16" s="48" t="s">
        <v>285</v>
      </c>
      <c r="B16" s="124">
        <f>measurement!J39</f>
        <v>141.11574074074073</v>
      </c>
      <c r="C16" s="124">
        <f>AVERAGE(measurement!K39:'measurement'!K40)</f>
        <v>90.101851851851819</v>
      </c>
      <c r="D16" s="269">
        <f>AVERAGE(measurement!E39:'measurement'!E40)*C28</f>
        <v>0.35</v>
      </c>
      <c r="E16" s="269">
        <f ca="1">measurement!B59+(F16-measurement!C60)*COS(B37*PI()/200)+(H16-measurement!E60)*SIN(B37*PI()/200)+(G16^2-(measurement!D60)^2)/(2*measurement!B59)</f>
        <v>57585.006352323384</v>
      </c>
      <c r="F16" s="271">
        <f>AVERAGE(measurement!F39:'measurement'!F40)*B24</f>
        <v>9123.0469999999987</v>
      </c>
      <c r="G16" s="271">
        <f>AVERAGE(measurement!G39:'measurement'!G40)*B25</f>
        <v>-217.547</v>
      </c>
      <c r="H16" s="269">
        <f>AVERAGE(measurement!H39:'measurement'!H40)*B26</f>
        <v>56849.004500000003</v>
      </c>
      <c r="I16" s="131"/>
      <c r="J16" s="131"/>
      <c r="K16" s="110"/>
    </row>
    <row r="17" spans="1:11" s="3" customFormat="1" x14ac:dyDescent="0.2">
      <c r="A17" s="48" t="s">
        <v>286</v>
      </c>
      <c r="B17" s="124">
        <f>measurement!J41</f>
        <v>341.11574074074065</v>
      </c>
      <c r="C17" s="124">
        <f>AVERAGE(measurement!K41:'measurement'!K42)</f>
        <v>109.9722222222222</v>
      </c>
      <c r="D17" s="269">
        <f>AVERAGE(measurement!E41:'measurement'!E42)*C28</f>
        <v>-5</v>
      </c>
      <c r="E17" s="269">
        <f ca="1">measurement!B59+(F17-measurement!C60)*COS(B37*PI()/200)+(H17-measurement!E60)*SIN(B37*PI()/200)+(G17^2-(measurement!D60)^2)/(2*measurement!B59)</f>
        <v>57584.233321548782</v>
      </c>
      <c r="F17" s="271">
        <f>AVERAGE(measurement!F41:'measurement'!F42)*B24</f>
        <v>9143.1445000000003</v>
      </c>
      <c r="G17" s="271">
        <f>AVERAGE(measurement!G41:'measurement'!G42)*B25</f>
        <v>-210.8415</v>
      </c>
      <c r="H17" s="269">
        <f>AVERAGE(measurement!H41:'measurement'!H42)*B26</f>
        <v>56845.084499999997</v>
      </c>
      <c r="I17" s="131"/>
      <c r="J17" s="131"/>
      <c r="K17" s="110"/>
    </row>
    <row r="18" spans="1:11" s="3" customFormat="1" x14ac:dyDescent="0.2">
      <c r="A18" s="48" t="s">
        <v>287</v>
      </c>
      <c r="B18" s="124">
        <f>measurement!J43</f>
        <v>341.11574074074065</v>
      </c>
      <c r="C18" s="124">
        <f>AVERAGE(measurement!K43:'measurement'!K44)</f>
        <v>309.99074074074088</v>
      </c>
      <c r="D18" s="269">
        <f>AVERAGE(measurement!E43:'measurement'!E44)*C28</f>
        <v>-0.75</v>
      </c>
      <c r="E18" s="278">
        <f ca="1">measurement!B59+(F18-measurement!C60)*COS(B37*PI()/200)+(H18-measurement!E60)*SIN(B37*PI()/200)+(G18^2-(measurement!D60)^2)/(2*measurement!B59)</f>
        <v>57581.250949403089</v>
      </c>
      <c r="F18" s="271">
        <f>AVERAGE(measurement!F43:'measurement'!F44)*B24</f>
        <v>9145.0529999999999</v>
      </c>
      <c r="G18" s="271">
        <f>AVERAGE(measurement!G43:'measurement'!G44)*B25</f>
        <v>-213.81200000000001</v>
      </c>
      <c r="H18" s="269">
        <f>AVERAGE(measurement!H43:'measurement'!H44)*B26</f>
        <v>56841.754000000001</v>
      </c>
      <c r="I18" s="131"/>
      <c r="J18" s="131"/>
      <c r="K18" s="110"/>
    </row>
    <row r="19" spans="1:11" s="3" customFormat="1" x14ac:dyDescent="0.2">
      <c r="A19" s="199" t="s">
        <v>147</v>
      </c>
      <c r="B19" s="285">
        <f>measurement!C43</f>
        <v>307.00149999999996</v>
      </c>
      <c r="C19" s="285">
        <f>measurement!D44</f>
        <v>278.59300000000002</v>
      </c>
      <c r="D19" s="286">
        <f>measurement!E44*C28</f>
        <v>-0.8</v>
      </c>
      <c r="E19" s="291"/>
      <c r="F19" s="286">
        <f>measurement!F44*B24</f>
        <v>9145.1620000000003</v>
      </c>
      <c r="G19" s="289">
        <f>measurement!G44*B25</f>
        <v>-213.93199999999999</v>
      </c>
      <c r="H19" s="290">
        <f>measurement!H44*B26</f>
        <v>56841.411</v>
      </c>
      <c r="I19" s="287"/>
      <c r="J19" s="287"/>
      <c r="K19" s="288"/>
    </row>
    <row r="20" spans="1:11" s="3" customFormat="1" x14ac:dyDescent="0.2">
      <c r="A20" s="47" t="s">
        <v>148</v>
      </c>
      <c r="B20" s="279">
        <f>measurement!J43</f>
        <v>341.11574074074065</v>
      </c>
      <c r="C20" s="280">
        <f>measurement!K45</f>
        <v>310.17592592592604</v>
      </c>
      <c r="D20" s="281">
        <f>measurement!E45*C28</f>
        <v>-173.4</v>
      </c>
      <c r="E20" s="282"/>
      <c r="F20" s="281">
        <f>measurement!F45*B24</f>
        <v>9143.625</v>
      </c>
      <c r="G20" s="283">
        <f>measurement!G45*B25</f>
        <v>-211.387</v>
      </c>
      <c r="H20" s="281">
        <f>measurement!H45*B26</f>
        <v>56840.101999999999</v>
      </c>
      <c r="I20" s="284"/>
      <c r="J20" s="129"/>
      <c r="K20" s="116"/>
    </row>
    <row r="21" spans="1:11" s="3" customFormat="1" x14ac:dyDescent="0.2">
      <c r="A21" s="16"/>
      <c r="B21" s="17"/>
      <c r="C21" s="17"/>
      <c r="D21" s="87"/>
      <c r="E21" s="87"/>
      <c r="F21" s="87"/>
      <c r="G21" s="87"/>
      <c r="H21" s="87"/>
      <c r="I21" s="16"/>
      <c r="J21" s="18"/>
      <c r="K21" s="18"/>
    </row>
    <row r="22" spans="1:11" s="3" customFormat="1" x14ac:dyDescent="0.2">
      <c r="A22" s="9" t="s">
        <v>150</v>
      </c>
      <c r="B22" s="9"/>
      <c r="C22" s="9"/>
      <c r="D22" s="2"/>
      <c r="E22" s="2"/>
      <c r="F22" s="2"/>
      <c r="G22" s="2"/>
      <c r="H22" s="2"/>
      <c r="I22" s="2"/>
      <c r="J22" s="2"/>
      <c r="K22" s="2"/>
    </row>
    <row r="23" spans="1:11" s="3" customFormat="1" x14ac:dyDescent="0.2">
      <c r="A23" s="581" t="s">
        <v>242</v>
      </c>
      <c r="B23" s="586"/>
      <c r="C23" s="586"/>
      <c r="D23" s="582"/>
      <c r="E23" s="576" t="s">
        <v>155</v>
      </c>
      <c r="F23" s="577"/>
      <c r="G23" s="312">
        <f>measurement!F8</f>
        <v>1</v>
      </c>
      <c r="H23" s="311" t="s">
        <v>83</v>
      </c>
      <c r="I23" s="313">
        <f>measurement!I8</f>
        <v>10</v>
      </c>
      <c r="J23" s="581" t="s">
        <v>156</v>
      </c>
      <c r="K23" s="582"/>
    </row>
    <row r="24" spans="1:11" s="3" customFormat="1" x14ac:dyDescent="0.2">
      <c r="A24" s="257" t="s">
        <v>151</v>
      </c>
      <c r="B24" s="94">
        <f>constants!D6</f>
        <v>1</v>
      </c>
      <c r="C24" s="511" t="s">
        <v>247</v>
      </c>
      <c r="D24" s="94">
        <f>constants!D7</f>
        <v>1</v>
      </c>
      <c r="E24" s="578" t="s">
        <v>84</v>
      </c>
      <c r="F24" s="579"/>
      <c r="G24" s="259">
        <f>VLOOKUP(measurement!F8,constants!E6:F12,2)</f>
        <v>8307.6200000000008</v>
      </c>
      <c r="H24" s="244" t="s">
        <v>82</v>
      </c>
      <c r="I24" s="253">
        <f>VLOOKUP(measurement!I8,constants!G6:H14,2)</f>
        <v>0</v>
      </c>
      <c r="J24" s="244" t="s">
        <v>170</v>
      </c>
      <c r="K24" s="238">
        <f>constants!L6</f>
        <v>0</v>
      </c>
    </row>
    <row r="25" spans="1:11" s="3" customFormat="1" x14ac:dyDescent="0.2">
      <c r="A25" s="257" t="s">
        <v>152</v>
      </c>
      <c r="B25" s="94">
        <f>constants!D8</f>
        <v>1</v>
      </c>
      <c r="C25" s="511" t="s">
        <v>248</v>
      </c>
      <c r="D25" s="94">
        <f>constants!D9</f>
        <v>1</v>
      </c>
      <c r="E25" s="578" t="s">
        <v>85</v>
      </c>
      <c r="F25" s="579"/>
      <c r="G25" s="252">
        <f>(TRUNC(G24/100)+MOD(G24,100)/60)/0.9</f>
        <v>92.363333333333344</v>
      </c>
      <c r="H25" s="254"/>
      <c r="I25" s="255"/>
      <c r="J25" s="250" t="s">
        <v>31</v>
      </c>
      <c r="K25" s="252">
        <f>K24/60/0.9</f>
        <v>0</v>
      </c>
    </row>
    <row r="26" spans="1:11" s="3" customFormat="1" x14ac:dyDescent="0.2">
      <c r="A26" s="264" t="s">
        <v>153</v>
      </c>
      <c r="B26" s="94">
        <f>constants!D10</f>
        <v>1</v>
      </c>
      <c r="C26" s="512" t="s">
        <v>249</v>
      </c>
      <c r="D26" s="94">
        <f>constants!D11</f>
        <v>1</v>
      </c>
      <c r="E26" s="90"/>
      <c r="F26" s="361"/>
      <c r="G26" s="362"/>
      <c r="H26" s="581"/>
      <c r="I26" s="582"/>
      <c r="J26" s="244" t="s">
        <v>171</v>
      </c>
      <c r="K26" s="238">
        <f>constants!L7</f>
        <v>0</v>
      </c>
    </row>
    <row r="27" spans="1:11" s="3" customFormat="1" x14ac:dyDescent="0.2">
      <c r="A27" s="581" t="s">
        <v>154</v>
      </c>
      <c r="B27" s="586"/>
      <c r="C27" s="586"/>
      <c r="D27" s="582"/>
      <c r="E27" s="90"/>
      <c r="F27" s="244"/>
      <c r="G27" s="139"/>
      <c r="H27" s="244"/>
      <c r="I27" s="260"/>
      <c r="J27" s="251" t="s">
        <v>31</v>
      </c>
      <c r="K27" s="252">
        <f>K26/60/0.9</f>
        <v>0</v>
      </c>
    </row>
    <row r="28" spans="1:11" s="3" customFormat="1" x14ac:dyDescent="0.2">
      <c r="A28" s="254"/>
      <c r="B28" s="265" t="s">
        <v>81</v>
      </c>
      <c r="C28" s="465">
        <f>constants!D12</f>
        <v>1</v>
      </c>
      <c r="D28" s="89"/>
      <c r="E28" s="92"/>
      <c r="F28" s="98"/>
      <c r="G28" s="258"/>
      <c r="H28" s="256"/>
      <c r="I28" s="261"/>
      <c r="J28" s="98" t="s">
        <v>172</v>
      </c>
      <c r="K28" s="194">
        <f>VLOOKUP(measurement!I8,constants!I6:J14,2)</f>
        <v>0</v>
      </c>
    </row>
    <row r="29" spans="1:11" s="3" customFormat="1" x14ac:dyDescent="0.2">
      <c r="A29" s="16"/>
      <c r="B29" s="87"/>
      <c r="C29" s="23"/>
      <c r="D29" s="23"/>
      <c r="E29" s="23"/>
      <c r="F29" s="23"/>
      <c r="G29" s="23"/>
      <c r="H29" s="23"/>
      <c r="I29" s="23"/>
      <c r="J29" s="16"/>
      <c r="K29" s="87"/>
    </row>
    <row r="30" spans="1:11" s="3" customFormat="1" x14ac:dyDescent="0.2">
      <c r="A30" s="9" t="s">
        <v>157</v>
      </c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s="3" customFormat="1" x14ac:dyDescent="0.2">
      <c r="A31" s="310" t="s">
        <v>32</v>
      </c>
      <c r="B31" s="40"/>
      <c r="C31" s="308"/>
      <c r="D31" s="303" t="s">
        <v>158</v>
      </c>
      <c r="E31" s="309"/>
      <c r="F31" s="308"/>
      <c r="G31" s="303" t="s">
        <v>159</v>
      </c>
      <c r="H31" s="309"/>
      <c r="I31" s="295"/>
      <c r="J31" s="304" t="s">
        <v>160</v>
      </c>
      <c r="K31" s="305"/>
    </row>
    <row r="32" spans="1:11" s="11" customFormat="1" x14ac:dyDescent="0.2">
      <c r="A32" s="244" t="s">
        <v>80</v>
      </c>
      <c r="B32" s="408">
        <f>constants!E24</f>
        <v>8900</v>
      </c>
      <c r="C32" s="97" t="s">
        <v>72</v>
      </c>
      <c r="D32" s="23" t="s">
        <v>31</v>
      </c>
      <c r="E32" s="108">
        <f ca="1">B12+ASIN(D12/SQRT((B33+F12)^2+(G12)^2))*200/PI()-ATAN(G12/(B33+F12))*200/PI()</f>
        <v>242.44644942585612</v>
      </c>
      <c r="F32" s="97" t="s">
        <v>99</v>
      </c>
      <c r="G32" s="23"/>
      <c r="H32" s="108">
        <f ca="1">C16-measurement!J8*ASIN(D16/E16)*200/PI()</f>
        <v>90.101464916198864</v>
      </c>
      <c r="I32" s="42" t="s">
        <v>67</v>
      </c>
      <c r="J32" s="23" t="s">
        <v>31</v>
      </c>
      <c r="K32" s="245">
        <f ca="1">AVERAGE(E15:E18)</f>
        <v>57583.97284144994</v>
      </c>
    </row>
    <row r="33" spans="1:11" s="11" customFormat="1" x14ac:dyDescent="0.2">
      <c r="A33" s="244" t="s">
        <v>33</v>
      </c>
      <c r="B33" s="409">
        <f ca="1">IF(ISERR(C49),B32,C49)</f>
        <v>-183</v>
      </c>
      <c r="C33" s="97" t="s">
        <v>73</v>
      </c>
      <c r="D33" s="23" t="s">
        <v>31</v>
      </c>
      <c r="E33" s="108">
        <f ca="1">B11-ASIN(D11/SQRT((B33+F11)^2+(G11)^2))*200/PI()-ATAN(G11/(B33+F11))*200/PI()</f>
        <v>42.953943344645616</v>
      </c>
      <c r="F33" s="97" t="s">
        <v>95</v>
      </c>
      <c r="G33" s="23"/>
      <c r="H33" s="108">
        <f ca="1">C15+measurement!J8*ASIN(D15/E15)*200/PI()-200</f>
        <v>90.118712086072037</v>
      </c>
      <c r="I33" s="42" t="s">
        <v>68</v>
      </c>
      <c r="J33" s="23" t="s">
        <v>31</v>
      </c>
      <c r="K33" s="245">
        <f>I24</f>
        <v>0</v>
      </c>
    </row>
    <row r="34" spans="1:11" s="11" customFormat="1" x14ac:dyDescent="0.2">
      <c r="A34" s="244" t="s">
        <v>34</v>
      </c>
      <c r="B34" s="409" t="e">
        <f ca="1">IF(ISNA(C50),NA(),C50)</f>
        <v>#DIV/0!</v>
      </c>
      <c r="C34" s="97" t="s">
        <v>74</v>
      </c>
      <c r="D34" s="23" t="s">
        <v>31</v>
      </c>
      <c r="E34" s="108">
        <f ca="1">B10+ASIN(D10/SQRT((B33+F10)^2+(G10)^2))*200/PI()-ATAN(G10/(B33+F10))*200/PI()</f>
        <v>42.9919902574104</v>
      </c>
      <c r="F34" s="97" t="s">
        <v>96</v>
      </c>
      <c r="G34" s="23"/>
      <c r="H34" s="108">
        <f ca="1">200-(C18+measurement!J8*ASIN(D18/E18)*200/PI())+200</f>
        <v>90.010088461163264</v>
      </c>
      <c r="I34" s="42" t="s">
        <v>169</v>
      </c>
      <c r="J34" s="23" t="s">
        <v>31</v>
      </c>
      <c r="K34" s="246">
        <f>K28</f>
        <v>0</v>
      </c>
    </row>
    <row r="35" spans="1:11" s="11" customFormat="1" x14ac:dyDescent="0.2">
      <c r="A35" s="96"/>
      <c r="B35" s="410"/>
      <c r="C35" s="97" t="s">
        <v>75</v>
      </c>
      <c r="D35" s="23" t="s">
        <v>31</v>
      </c>
      <c r="E35" s="109">
        <f ca="1">B9-ASIN(D9/SQRT((B33+F9)^2+(G9)^2))*200/PI()-ATAN(G9/(B33+F9))*200/PI()</f>
        <v>242.45266349007079</v>
      </c>
      <c r="F35" s="42" t="s">
        <v>97</v>
      </c>
      <c r="G35" s="23"/>
      <c r="H35" s="108">
        <f ca="1">400-(C17-measurement!J8*ASIN(D17/E17)*200/PI())-200</f>
        <v>90.022250051380752</v>
      </c>
      <c r="I35" s="42" t="s">
        <v>200</v>
      </c>
      <c r="J35" s="23" t="s">
        <v>31</v>
      </c>
      <c r="K35" s="106">
        <f ca="1">(K32+K33+K34)</f>
        <v>57583.97284144994</v>
      </c>
    </row>
    <row r="36" spans="1:11" s="11" customFormat="1" x14ac:dyDescent="0.2">
      <c r="A36" s="244" t="s">
        <v>35</v>
      </c>
      <c r="B36" s="482">
        <f>constants!F24</f>
        <v>90.120370370370381</v>
      </c>
      <c r="C36" s="97" t="s">
        <v>161</v>
      </c>
      <c r="D36" s="23" t="s">
        <v>31</v>
      </c>
      <c r="E36" s="108">
        <f ca="1">AVERAGE(E32:E35)</f>
        <v>142.71126162949574</v>
      </c>
      <c r="F36" s="97"/>
      <c r="G36" s="23"/>
      <c r="H36" s="108"/>
      <c r="I36" s="231"/>
      <c r="J36" s="196"/>
      <c r="K36" s="188"/>
    </row>
    <row r="37" spans="1:11" s="11" customFormat="1" x14ac:dyDescent="0.2">
      <c r="A37" s="244" t="s">
        <v>36</v>
      </c>
      <c r="B37" s="108">
        <f ca="1">IF(ISERR(H40),B36,H40)</f>
        <v>90.063128878703736</v>
      </c>
      <c r="C37" s="97" t="s">
        <v>162</v>
      </c>
      <c r="D37" s="49"/>
      <c r="E37" s="108">
        <f ca="1">MOD(IF(E32&lt;E33,E36-200,E36)+400,400)</f>
        <v>142.71126162949577</v>
      </c>
      <c r="F37" s="42" t="s">
        <v>98</v>
      </c>
      <c r="G37" s="23" t="s">
        <v>31</v>
      </c>
      <c r="H37" s="294">
        <f ca="1">IF(AVERAGE(H32:H35)&gt;100,AVERAGE(H32:H35)-200, AVERAGE(H32:H35))</f>
        <v>90.063128878703736</v>
      </c>
      <c r="I37" s="42" t="s">
        <v>69</v>
      </c>
      <c r="J37" s="23" t="s">
        <v>31</v>
      </c>
      <c r="K37" s="106">
        <f ca="1">K35*COS(H40*PI()/200)</f>
        <v>8951.7148133373703</v>
      </c>
    </row>
    <row r="38" spans="1:11" s="11" customFormat="1" x14ac:dyDescent="0.2">
      <c r="A38" s="90"/>
      <c r="B38" s="91"/>
      <c r="C38" s="298" t="s">
        <v>163</v>
      </c>
      <c r="D38" s="299" t="s">
        <v>31</v>
      </c>
      <c r="E38" s="300">
        <f>IF(measurement!F8=0,NA(),(B7+B8+B13+B14)/4)</f>
        <v>111.61265432098764</v>
      </c>
      <c r="F38" s="42" t="s">
        <v>71</v>
      </c>
      <c r="G38" s="23" t="s">
        <v>31</v>
      </c>
      <c r="H38" s="108">
        <f>I28</f>
        <v>0</v>
      </c>
      <c r="I38" s="42" t="s">
        <v>70</v>
      </c>
      <c r="J38" s="23" t="s">
        <v>31</v>
      </c>
      <c r="K38" s="106">
        <f ca="1">K35*SIN(H40*PI()/200)</f>
        <v>56883.923300925024</v>
      </c>
    </row>
    <row r="39" spans="1:11" s="11" customFormat="1" x14ac:dyDescent="0.2">
      <c r="A39" s="90"/>
      <c r="B39" s="52"/>
      <c r="C39" s="301" t="s">
        <v>164</v>
      </c>
      <c r="D39" s="302" t="s">
        <v>31</v>
      </c>
      <c r="E39" s="109">
        <f>IF(B8&lt;B7,E38-100,E38+100)</f>
        <v>211.61265432098764</v>
      </c>
      <c r="F39" s="42" t="s">
        <v>168</v>
      </c>
      <c r="G39" s="23" t="s">
        <v>31</v>
      </c>
      <c r="H39" s="109">
        <f>K27</f>
        <v>0</v>
      </c>
      <c r="I39" s="295"/>
      <c r="J39" s="304" t="s">
        <v>173</v>
      </c>
      <c r="K39" s="305"/>
    </row>
    <row r="40" spans="1:11" s="11" customFormat="1" x14ac:dyDescent="0.2">
      <c r="A40" s="231"/>
      <c r="B40" s="235"/>
      <c r="C40" s="49" t="s">
        <v>165</v>
      </c>
      <c r="D40" s="23" t="s">
        <v>31</v>
      </c>
      <c r="E40" s="108">
        <f>K25</f>
        <v>0</v>
      </c>
      <c r="F40" s="42" t="s">
        <v>201</v>
      </c>
      <c r="G40" s="23" t="s">
        <v>31</v>
      </c>
      <c r="H40" s="108">
        <f ca="1">H37+H38+H39</f>
        <v>90.063128878703736</v>
      </c>
      <c r="I40" s="292"/>
      <c r="J40" s="306" t="s">
        <v>174</v>
      </c>
      <c r="K40" s="307"/>
    </row>
    <row r="41" spans="1:11" s="11" customFormat="1" x14ac:dyDescent="0.2">
      <c r="A41" s="231"/>
      <c r="B41" s="52"/>
      <c r="C41" s="97" t="s">
        <v>166</v>
      </c>
      <c r="D41" s="23" t="s">
        <v>31</v>
      </c>
      <c r="E41" s="108">
        <f ca="1">(MOD(G25+E37-E39+E40+400,400))</f>
        <v>23.461940641841466</v>
      </c>
      <c r="F41" s="231"/>
      <c r="G41" s="196"/>
      <c r="H41" s="196"/>
      <c r="I41" s="42" t="s">
        <v>77</v>
      </c>
      <c r="J41" s="23" t="s">
        <v>31</v>
      </c>
      <c r="K41" s="263">
        <f ca="1">MOD(E41+ATAN(B25*measurement!G19/(B33+B24*measurement!F19))*200/PI()+400,400)</f>
        <v>21.854241242212368</v>
      </c>
    </row>
    <row r="42" spans="1:11" s="11" customFormat="1" x14ac:dyDescent="0.2">
      <c r="A42" s="231"/>
      <c r="B42" s="188"/>
      <c r="C42" s="196"/>
      <c r="D42" s="23" t="s">
        <v>31</v>
      </c>
      <c r="E42" s="238">
        <f ca="1">ROUND(E41*54,2)</f>
        <v>1266.94</v>
      </c>
      <c r="F42" s="196"/>
      <c r="G42" s="196"/>
      <c r="H42" s="196"/>
      <c r="I42" s="42"/>
      <c r="J42" s="23" t="s">
        <v>31</v>
      </c>
      <c r="K42" s="262">
        <f ca="1">ROUND(K41*54,1)</f>
        <v>1180.0999999999999</v>
      </c>
    </row>
    <row r="43" spans="1:11" s="11" customFormat="1" x14ac:dyDescent="0.2">
      <c r="A43" s="231"/>
      <c r="B43" s="188"/>
      <c r="C43" s="97" t="s">
        <v>167</v>
      </c>
      <c r="D43" s="23" t="s">
        <v>31</v>
      </c>
      <c r="E43" s="108" t="e">
        <f ca="1">MOD(E41+ATAN(G9/(B33+F9))*200/PI()-ATAN(J9/(B34+I9))*200/PI()+400,400)</f>
        <v>#DIV/0!</v>
      </c>
      <c r="F43" s="196"/>
      <c r="G43" s="196"/>
      <c r="H43" s="196"/>
      <c r="I43" s="42"/>
      <c r="J43" s="23" t="s">
        <v>31</v>
      </c>
      <c r="K43" s="236">
        <f ca="1">TRUNC(K42/60)*100+MOD(K42/60,1)*60</f>
        <v>1940.1</v>
      </c>
    </row>
    <row r="44" spans="1:11" s="11" customFormat="1" x14ac:dyDescent="0.2">
      <c r="A44" s="231"/>
      <c r="B44" s="188"/>
      <c r="C44" s="97"/>
      <c r="D44" s="23" t="s">
        <v>31</v>
      </c>
      <c r="E44" s="238" t="e">
        <f ca="1">ROUND(E43*54,2)</f>
        <v>#DIV/0!</v>
      </c>
      <c r="F44" s="196"/>
      <c r="G44" s="196"/>
      <c r="H44" s="196"/>
      <c r="I44" s="42" t="s">
        <v>78</v>
      </c>
      <c r="J44" s="23" t="s">
        <v>31</v>
      </c>
      <c r="K44" s="106">
        <f ca="1">SQRT((measurement!F19*calculations!B24+calculations!C49)^2+(measurement!G19*calculations!B25)^2)</f>
        <v>8925.1518499013218</v>
      </c>
    </row>
    <row r="45" spans="1:11" s="3" customFormat="1" x14ac:dyDescent="0.2">
      <c r="A45" s="254"/>
      <c r="B45" s="255"/>
      <c r="C45" s="43" t="s">
        <v>76</v>
      </c>
      <c r="D45" s="88" t="s">
        <v>31</v>
      </c>
      <c r="E45" s="239" t="e">
        <f ca="1">E42-E44</f>
        <v>#DIV/0!</v>
      </c>
      <c r="F45" s="211"/>
      <c r="G45" s="211"/>
      <c r="H45" s="211"/>
      <c r="I45" s="43" t="s">
        <v>79</v>
      </c>
      <c r="J45" s="88" t="s">
        <v>31</v>
      </c>
      <c r="K45" s="105">
        <f ca="1">calculations!G49+measurement!H19*calculations!B26</f>
        <v>56895.078999999998</v>
      </c>
    </row>
    <row r="46" spans="1:11" s="3" customFormat="1" x14ac:dyDescent="0.2">
      <c r="A46" s="23"/>
      <c r="B46" s="23"/>
      <c r="C46" s="23"/>
      <c r="D46" s="16"/>
      <c r="E46" s="93"/>
      <c r="I46" s="23"/>
      <c r="J46" s="23"/>
      <c r="K46" s="23"/>
    </row>
    <row r="47" spans="1:11" s="3" customFormat="1" x14ac:dyDescent="0.2">
      <c r="A47" s="9" t="s">
        <v>175</v>
      </c>
      <c r="B47" s="9"/>
      <c r="C47" s="9"/>
      <c r="D47" s="9"/>
      <c r="E47" s="9"/>
      <c r="F47" s="2"/>
      <c r="G47" s="2"/>
      <c r="H47" s="9"/>
      <c r="I47" s="9" t="s">
        <v>177</v>
      </c>
      <c r="J47" s="2"/>
      <c r="K47" s="2"/>
    </row>
    <row r="48" spans="1:11" s="3" customFormat="1" x14ac:dyDescent="0.2">
      <c r="A48" s="147" t="s">
        <v>176</v>
      </c>
      <c r="B48" s="583" t="s">
        <v>62</v>
      </c>
      <c r="C48" s="584"/>
      <c r="D48" s="583" t="s">
        <v>63</v>
      </c>
      <c r="E48" s="584"/>
      <c r="F48" s="583" t="s">
        <v>64</v>
      </c>
      <c r="G48" s="584"/>
      <c r="I48" s="233" t="s">
        <v>178</v>
      </c>
      <c r="J48" s="234"/>
      <c r="K48" s="218">
        <v>0.18518499999999999</v>
      </c>
    </row>
    <row r="49" spans="1:13" s="11" customFormat="1" x14ac:dyDescent="0.2">
      <c r="A49" s="199" t="s">
        <v>113</v>
      </c>
      <c r="B49" s="232"/>
      <c r="C49" s="197">
        <f ca="1">ROUND(SQRT(K37^2-(AVERAGE(G15:G18))^2)-AVERAGE(F15:F18),1)</f>
        <v>-183</v>
      </c>
      <c r="D49" s="232"/>
      <c r="E49" s="200">
        <f ca="1">TRUNC(E42/60)*100+MOD(E42/60,1)*60</f>
        <v>2106.94</v>
      </c>
      <c r="F49" s="232"/>
      <c r="G49" s="243">
        <f ca="1">ROUND(K38-AVERAGE(H15:H18),1)</f>
        <v>37.4</v>
      </c>
      <c r="I49" s="214" t="s">
        <v>179</v>
      </c>
      <c r="J49" s="196"/>
      <c r="K49" s="216">
        <f ca="1">(-SIN(B37*PI()/200)*(F20-F19)/K35+COS(B37*PI()/200)*(H20-H19)/K35)*200/PI()</f>
        <v>1.4536041535165548E-3</v>
      </c>
    </row>
    <row r="50" spans="1:13" s="11" customFormat="1" x14ac:dyDescent="0.2">
      <c r="A50" s="483" t="s">
        <v>240</v>
      </c>
      <c r="B50" s="232"/>
      <c r="C50" s="193" t="e">
        <f ca="1">ROUND(SQRT(((F9+B33)^2+(G9)^2)-(J9)^2)-I9,1)</f>
        <v>#DIV/0!</v>
      </c>
      <c r="D50" s="232"/>
      <c r="E50" s="202" t="e">
        <f ca="1">TRUNC(E44/60)*100+MOD(E44/60,1)*60</f>
        <v>#DIV/0!</v>
      </c>
      <c r="F50" s="232"/>
      <c r="G50" s="193" t="e">
        <f ca="1">ROUND(G49+H9-K9,1)</f>
        <v>#DIV/0!</v>
      </c>
      <c r="I50" s="160" t="s">
        <v>66</v>
      </c>
      <c r="J50" s="212"/>
      <c r="K50" s="217">
        <f ca="1">K48+K49</f>
        <v>0.18663860415351655</v>
      </c>
    </row>
    <row r="51" spans="1:13" s="11" customFormat="1" x14ac:dyDescent="0.2">
      <c r="A51" s="484" t="s">
        <v>191</v>
      </c>
      <c r="B51" s="230"/>
      <c r="C51" s="194" t="e">
        <f ca="1">C49-C50</f>
        <v>#DIV/0!</v>
      </c>
      <c r="D51" s="230"/>
      <c r="E51" s="201" t="e">
        <f ca="1">TRUNC(E45/60)*100+E45-TRUNC(E45/60,0)*60</f>
        <v>#DIV/0!</v>
      </c>
      <c r="F51" s="230"/>
      <c r="G51" s="194" t="e">
        <f ca="1">G49-G50</f>
        <v>#DIV/0!</v>
      </c>
      <c r="I51" s="160" t="s">
        <v>94</v>
      </c>
      <c r="J51" s="212"/>
      <c r="K51" s="219">
        <f>IF(D20=0,NA(),ABS((D20-D19)/C28))</f>
        <v>172.6</v>
      </c>
    </row>
    <row r="52" spans="1:13" s="3" customFormat="1" x14ac:dyDescent="0.2">
      <c r="A52" s="26"/>
      <c r="C52" s="23"/>
      <c r="E52" s="87"/>
      <c r="G52" s="26"/>
      <c r="H52" s="87"/>
      <c r="I52" s="159" t="s">
        <v>180</v>
      </c>
      <c r="J52" s="213"/>
      <c r="K52" s="220">
        <f ca="1">(K35*K50/K51)*PI()/200</f>
        <v>0.97809758791884083</v>
      </c>
    </row>
    <row r="53" spans="1:13" s="3" customFormat="1" x14ac:dyDescent="0.2">
      <c r="A53" s="9" t="s">
        <v>181</v>
      </c>
      <c r="B53" s="2"/>
      <c r="C53" s="2"/>
      <c r="D53" s="2"/>
      <c r="E53" s="87"/>
      <c r="F53" s="297" t="s">
        <v>185</v>
      </c>
      <c r="H53" s="293"/>
    </row>
    <row r="54" spans="1:13" s="3" customFormat="1" x14ac:dyDescent="0.2">
      <c r="A54" s="195"/>
      <c r="B54" s="221" t="s">
        <v>38</v>
      </c>
      <c r="C54" s="221" t="s">
        <v>39</v>
      </c>
      <c r="D54" s="222" t="s">
        <v>65</v>
      </c>
      <c r="E54" s="87"/>
      <c r="F54" s="295" t="s">
        <v>192</v>
      </c>
      <c r="G54" s="210"/>
      <c r="H54" s="323">
        <f ca="1">E32+200-E38</f>
        <v>330.8337951048685</v>
      </c>
      <c r="J54" s="296" t="s">
        <v>187</v>
      </c>
      <c r="K54" s="322"/>
    </row>
    <row r="55" spans="1:13" s="3" customFormat="1" x14ac:dyDescent="0.2">
      <c r="A55" s="99" t="s">
        <v>182</v>
      </c>
      <c r="B55" s="191">
        <f ca="1">(E32-E33+E34-E35)/4/200*PI()*K37</f>
        <v>1.1190297344092563</v>
      </c>
      <c r="C55" s="191">
        <f ca="1">(-E32-E33+E34+E35)/4/200*PI()*K37</f>
        <v>1.5559194847427162</v>
      </c>
      <c r="D55" s="193">
        <f ca="1">IF(E32&lt;E33,(E32-E33-E34+E35+400)/4/200*PI()*K37,(E32-E33-E34+E35-400)/4/200*PI()*K37)</f>
        <v>-36.799203581439365</v>
      </c>
      <c r="E55" s="87"/>
      <c r="F55" s="292" t="s">
        <v>193</v>
      </c>
      <c r="G55" s="196"/>
      <c r="H55" s="324">
        <f ca="1">E33-E38</f>
        <v>-68.658710976342036</v>
      </c>
      <c r="J55" s="314" t="s">
        <v>196</v>
      </c>
      <c r="K55" s="336">
        <f ca="1">H32+(ATAN($G$49/$C$49)-ATAN(($G$49+H15)/SQRT(($C$49+F15)^2+G15^2)))/PI()*200</f>
        <v>-12.812212791440516</v>
      </c>
    </row>
    <row r="56" spans="1:13" s="3" customFormat="1" x14ac:dyDescent="0.2">
      <c r="A56" s="47" t="s">
        <v>183</v>
      </c>
      <c r="B56" s="192">
        <f ca="1">-(H32-H33+H34-H35)/4/200*PI()*K35-((F15-F16+F17-F18)*SIN(H40/200*PI())-(H15-H16+H17-H18)*COS(H40/200*PI()))/4</f>
        <v>8.6858265336446117</v>
      </c>
      <c r="C56" s="107"/>
      <c r="D56" s="194">
        <f ca="1">((-H32-H33+H34+H35)/4/200*PI()-((F15+F16-F17-F18)*SIN(H40/200*PI())-(H15+H16-H17-H18)*COS(H40/200*PI()))/(4*K35))*K38</f>
        <v>-29.842135383805392</v>
      </c>
      <c r="E56" s="87"/>
      <c r="F56" s="292" t="s">
        <v>194</v>
      </c>
      <c r="G56" s="196"/>
      <c r="H56" s="324">
        <f ca="1">E34-E38</f>
        <v>-68.620664063577237</v>
      </c>
      <c r="J56" s="42" t="s">
        <v>197</v>
      </c>
      <c r="K56" s="337">
        <f ca="1">H33+(ATAN($G$49/$C$49)-ATAN(($G$49+H16)/SQRT(($C$49+F16)^2+G16^2)))/PI()*200</f>
        <v>-12.788660320753266</v>
      </c>
    </row>
    <row r="57" spans="1:13" s="3" customFormat="1" x14ac:dyDescent="0.2">
      <c r="E57" s="2"/>
      <c r="F57" s="292" t="s">
        <v>195</v>
      </c>
      <c r="G57" s="196"/>
      <c r="H57" s="324">
        <f ca="1">E35+200-E38</f>
        <v>330.84000916908315</v>
      </c>
      <c r="J57" s="42" t="s">
        <v>198</v>
      </c>
      <c r="K57" s="337">
        <f ca="1">H34+(ATAN($G$49/$C$49)-ATAN(($G$49+H17)/SQRT(($C$49+F17)^2+G17^2)))/PI()*200</f>
        <v>-12.874843296962638</v>
      </c>
      <c r="L57" s="580"/>
      <c r="M57" s="580"/>
    </row>
    <row r="58" spans="1:13" s="11" customFormat="1" x14ac:dyDescent="0.2">
      <c r="A58" s="9" t="s">
        <v>123</v>
      </c>
      <c r="B58" s="2"/>
      <c r="C58" s="2"/>
      <c r="D58" s="2"/>
      <c r="E58" s="7" t="s">
        <v>37</v>
      </c>
      <c r="F58" s="325" t="s">
        <v>186</v>
      </c>
      <c r="G58" s="326"/>
      <c r="H58" s="327">
        <f ca="1">0.01/200*PI()*K37</f>
        <v>1.4061320747305803</v>
      </c>
      <c r="J58" s="42" t="s">
        <v>199</v>
      </c>
      <c r="K58" s="337">
        <f ca="1">H35+(ATAN($G$49/$C$49)-ATAN(($G$49+H18)/SQRT(($C$49+F18)^2+G18^2)))/PI()*200</f>
        <v>-12.859948005159424</v>
      </c>
      <c r="L58" s="196"/>
      <c r="M58" s="196"/>
    </row>
    <row r="59" spans="1:13" s="11" customFormat="1" x14ac:dyDescent="0.2">
      <c r="A59" s="147" t="s">
        <v>184</v>
      </c>
      <c r="B59" s="221" t="s">
        <v>25</v>
      </c>
      <c r="C59" s="221" t="s">
        <v>26</v>
      </c>
      <c r="D59" s="223" t="s">
        <v>27</v>
      </c>
      <c r="E59" s="7" t="s">
        <v>37</v>
      </c>
      <c r="F59" s="314" t="s">
        <v>189</v>
      </c>
      <c r="G59" s="210"/>
      <c r="H59" s="320">
        <f>IF(measurement!F8=0,NA(),ROUND(AVERAGE(measurement!H13:K13),4))</f>
        <v>111.61069999999999</v>
      </c>
      <c r="J59" s="328" t="s">
        <v>188</v>
      </c>
      <c r="K59" s="327">
        <f ca="1">0.001/200*PI()*K38</f>
        <v>0.89353057774775668</v>
      </c>
    </row>
    <row r="60" spans="1:13" x14ac:dyDescent="0.2">
      <c r="A60" s="99" t="s">
        <v>113</v>
      </c>
      <c r="B60" s="203">
        <f>(measurement!I59/10)</f>
        <v>0</v>
      </c>
      <c r="C60" s="204">
        <f>(measurement!J59/10)</f>
        <v>0</v>
      </c>
      <c r="D60" s="198">
        <f>(measurement!K59/10)</f>
        <v>0</v>
      </c>
      <c r="E60" s="7" t="s">
        <v>37</v>
      </c>
      <c r="F60" s="42" t="s">
        <v>190</v>
      </c>
      <c r="G60" s="173"/>
      <c r="H60" s="109">
        <f>IF(measurement!F8=0,NA(),ROUND(AVERAGE(measurement!H31:K31),4))</f>
        <v>111.6146</v>
      </c>
    </row>
    <row r="61" spans="1:13" x14ac:dyDescent="0.2">
      <c r="A61" s="47" t="s">
        <v>240</v>
      </c>
      <c r="B61" s="205">
        <f>(measurement!I60/10-273.2)</f>
        <v>-273.2</v>
      </c>
      <c r="C61" s="206">
        <f>(measurement!J60/10-273.2)</f>
        <v>-273.2</v>
      </c>
      <c r="D61" s="207">
        <f>(measurement!K60/10-273.2)</f>
        <v>-273.2</v>
      </c>
      <c r="F61" s="43" t="s">
        <v>191</v>
      </c>
      <c r="G61" s="211"/>
      <c r="H61" s="321">
        <f>H59-H60</f>
        <v>-3.9000000000015689E-3</v>
      </c>
      <c r="J61" s="575" t="str">
        <f>measurement!F3</f>
        <v>USGS Order</v>
      </c>
      <c r="K61" s="575"/>
    </row>
    <row r="63" spans="1:13" x14ac:dyDescent="0.2">
      <c r="H63" s="215"/>
    </row>
    <row r="66" spans="1:9" x14ac:dyDescent="0.2">
      <c r="A66" s="241"/>
      <c r="B66" s="240"/>
      <c r="C66" s="242"/>
      <c r="D66" s="240"/>
      <c r="I66" s="7" t="s">
        <v>37</v>
      </c>
    </row>
    <row r="67" spans="1:9" x14ac:dyDescent="0.2">
      <c r="I67" s="212"/>
    </row>
    <row r="68" spans="1:9" x14ac:dyDescent="0.2">
      <c r="I68" s="212"/>
    </row>
    <row r="71" spans="1:9" x14ac:dyDescent="0.2">
      <c r="D71" s="240"/>
    </row>
  </sheetData>
  <mergeCells count="13">
    <mergeCell ref="B48:C48"/>
    <mergeCell ref="D48:E48"/>
    <mergeCell ref="F48:G48"/>
    <mergeCell ref="A1:E1"/>
    <mergeCell ref="A23:D23"/>
    <mergeCell ref="A27:D27"/>
    <mergeCell ref="J61:K61"/>
    <mergeCell ref="E23:F23"/>
    <mergeCell ref="E24:F24"/>
    <mergeCell ref="E25:F25"/>
    <mergeCell ref="L57:M57"/>
    <mergeCell ref="J23:K23"/>
    <mergeCell ref="H26:I26"/>
  </mergeCells>
  <phoneticPr fontId="0" type="noConversion"/>
  <pageMargins left="0.23622047244094491" right="0" top="0.51181102362204722" bottom="0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4"/>
  <sheetViews>
    <sheetView zoomScale="110" workbookViewId="0">
      <selection activeCell="H6" sqref="H6"/>
    </sheetView>
  </sheetViews>
  <sheetFormatPr defaultColWidth="9.28515625" defaultRowHeight="12.75" x14ac:dyDescent="0.2"/>
  <cols>
    <col min="1" max="2" width="9.28515625" style="101" customWidth="1"/>
    <col min="3" max="3" width="6.7109375" style="101" customWidth="1"/>
    <col min="4" max="4" width="9.28515625" style="101"/>
    <col min="5" max="5" width="9.5703125" style="101" customWidth="1"/>
    <col min="6" max="16384" width="9.28515625" style="101"/>
  </cols>
  <sheetData>
    <row r="1" spans="1:12" ht="20.25" x14ac:dyDescent="0.3">
      <c r="A1" s="2"/>
      <c r="B1" s="2"/>
      <c r="C1" s="2"/>
      <c r="D1" s="589" t="s">
        <v>211</v>
      </c>
      <c r="E1" s="589"/>
      <c r="F1" s="589"/>
      <c r="G1" s="589"/>
      <c r="H1" s="2"/>
      <c r="I1" s="2"/>
      <c r="J1" s="2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</row>
    <row r="3" spans="1:12" ht="18" x14ac:dyDescent="0.25">
      <c r="A3" s="343" t="s">
        <v>131</v>
      </c>
      <c r="B3" s="343"/>
      <c r="C3" s="2"/>
      <c r="D3" s="2"/>
      <c r="E3" s="2"/>
      <c r="F3" s="2"/>
      <c r="G3" s="2"/>
      <c r="H3" s="2"/>
      <c r="I3" s="2"/>
      <c r="J3" s="2"/>
    </row>
    <row r="4" spans="1:12" x14ac:dyDescent="0.2">
      <c r="A4" s="44" t="s">
        <v>132</v>
      </c>
      <c r="B4" s="572" t="s">
        <v>133</v>
      </c>
      <c r="C4" s="588"/>
      <c r="D4" s="569"/>
      <c r="E4" s="45" t="s">
        <v>134</v>
      </c>
      <c r="F4" s="46"/>
      <c r="G4" s="45" t="s">
        <v>136</v>
      </c>
      <c r="H4" s="46"/>
      <c r="I4" s="45" t="s">
        <v>137</v>
      </c>
      <c r="J4" s="46"/>
      <c r="K4" s="45" t="s">
        <v>137</v>
      </c>
      <c r="L4" s="46"/>
    </row>
    <row r="5" spans="1:12" x14ac:dyDescent="0.2">
      <c r="A5" s="542" t="s">
        <v>289</v>
      </c>
      <c r="B5" s="266"/>
      <c r="C5" s="38" t="s">
        <v>243</v>
      </c>
      <c r="D5" s="36" t="s">
        <v>89</v>
      </c>
      <c r="E5" s="35" t="s">
        <v>135</v>
      </c>
      <c r="F5" s="36" t="s">
        <v>215</v>
      </c>
      <c r="G5" s="38" t="s">
        <v>40</v>
      </c>
      <c r="H5" s="36" t="s">
        <v>41</v>
      </c>
      <c r="I5" s="38" t="s">
        <v>40</v>
      </c>
      <c r="J5" s="36" t="s">
        <v>42</v>
      </c>
      <c r="K5" s="38" t="s">
        <v>213</v>
      </c>
      <c r="L5" s="36" t="s">
        <v>54</v>
      </c>
    </row>
    <row r="6" spans="1:12" x14ac:dyDescent="0.2">
      <c r="A6" s="467"/>
      <c r="B6" s="382" t="s">
        <v>86</v>
      </c>
      <c r="C6" s="488" t="s">
        <v>113</v>
      </c>
      <c r="D6" s="493">
        <v>1</v>
      </c>
      <c r="E6" s="383">
        <v>1</v>
      </c>
      <c r="F6" s="420">
        <v>8307.6200000000008</v>
      </c>
      <c r="G6" s="498">
        <v>1</v>
      </c>
      <c r="H6" s="499">
        <v>-1.5</v>
      </c>
      <c r="I6" s="498">
        <v>1</v>
      </c>
      <c r="J6" s="499"/>
      <c r="K6" s="423" t="s">
        <v>213</v>
      </c>
      <c r="L6" s="425">
        <v>0</v>
      </c>
    </row>
    <row r="7" spans="1:12" x14ac:dyDescent="0.2">
      <c r="A7" s="468"/>
      <c r="B7" s="16"/>
      <c r="C7" s="489" t="s">
        <v>240</v>
      </c>
      <c r="D7" s="494">
        <v>1</v>
      </c>
      <c r="E7" s="344">
        <v>2</v>
      </c>
      <c r="F7" s="421"/>
      <c r="G7" s="500">
        <v>2</v>
      </c>
      <c r="H7" s="501"/>
      <c r="I7" s="500">
        <v>2</v>
      </c>
      <c r="J7" s="501"/>
      <c r="K7" s="424" t="s">
        <v>214</v>
      </c>
      <c r="L7" s="426">
        <v>0</v>
      </c>
    </row>
    <row r="8" spans="1:12" x14ac:dyDescent="0.2">
      <c r="A8" s="469"/>
      <c r="B8" s="374" t="s">
        <v>87</v>
      </c>
      <c r="C8" s="490" t="s">
        <v>244</v>
      </c>
      <c r="D8" s="495">
        <v>1</v>
      </c>
      <c r="E8" s="344">
        <v>3</v>
      </c>
      <c r="F8" s="421"/>
      <c r="G8" s="500">
        <v>3</v>
      </c>
      <c r="H8" s="501"/>
      <c r="I8" s="500">
        <v>3</v>
      </c>
      <c r="J8" s="501"/>
      <c r="K8" s="504"/>
      <c r="L8" s="428"/>
    </row>
    <row r="9" spans="1:12" x14ac:dyDescent="0.2">
      <c r="A9" s="469"/>
      <c r="B9" s="373"/>
      <c r="C9" s="491" t="s">
        <v>240</v>
      </c>
      <c r="D9" s="496">
        <v>1</v>
      </c>
      <c r="E9" s="344">
        <v>4</v>
      </c>
      <c r="F9" s="421"/>
      <c r="G9" s="500">
        <v>19</v>
      </c>
      <c r="H9" s="501"/>
      <c r="I9" s="500">
        <v>19</v>
      </c>
      <c r="J9" s="501"/>
      <c r="K9" s="504"/>
      <c r="L9" s="427"/>
    </row>
    <row r="10" spans="1:12" x14ac:dyDescent="0.2">
      <c r="A10" s="469"/>
      <c r="B10" s="16" t="s">
        <v>88</v>
      </c>
      <c r="C10" s="492" t="s">
        <v>245</v>
      </c>
      <c r="D10" s="494">
        <v>1</v>
      </c>
      <c r="E10" s="344">
        <v>5</v>
      </c>
      <c r="F10" s="421"/>
      <c r="G10" s="500">
        <v>90</v>
      </c>
      <c r="H10" s="501"/>
      <c r="I10" s="500">
        <v>90</v>
      </c>
      <c r="J10" s="501"/>
      <c r="K10" s="15"/>
      <c r="L10" s="27"/>
    </row>
    <row r="11" spans="1:12" x14ac:dyDescent="0.2">
      <c r="A11" s="468"/>
      <c r="B11" s="373"/>
      <c r="C11" s="491" t="s">
        <v>240</v>
      </c>
      <c r="D11" s="496">
        <v>1</v>
      </c>
      <c r="E11" s="344">
        <v>6</v>
      </c>
      <c r="F11" s="421"/>
      <c r="G11" s="500">
        <v>105</v>
      </c>
      <c r="H11" s="501">
        <v>-0.4</v>
      </c>
      <c r="I11" s="500">
        <v>105</v>
      </c>
      <c r="J11" s="501">
        <v>7.8</v>
      </c>
      <c r="K11" s="15"/>
      <c r="L11" s="27"/>
    </row>
    <row r="12" spans="1:12" x14ac:dyDescent="0.2">
      <c r="A12" s="470"/>
      <c r="B12" s="266" t="s">
        <v>212</v>
      </c>
      <c r="C12" s="268"/>
      <c r="D12" s="497">
        <f>measurement!K8</f>
        <v>1</v>
      </c>
      <c r="E12" s="344">
        <v>7</v>
      </c>
      <c r="F12" s="422"/>
      <c r="G12" s="500">
        <v>307</v>
      </c>
      <c r="H12" s="501">
        <v>-4</v>
      </c>
      <c r="I12" s="500">
        <v>307</v>
      </c>
      <c r="J12" s="501">
        <v>4</v>
      </c>
      <c r="K12" s="15"/>
      <c r="L12" s="27"/>
    </row>
    <row r="13" spans="1:12" x14ac:dyDescent="0.2">
      <c r="A13" s="390" t="s">
        <v>289</v>
      </c>
      <c r="B13" s="391"/>
      <c r="C13" s="392"/>
      <c r="D13" s="393"/>
      <c r="E13" s="394"/>
      <c r="F13" s="429"/>
      <c r="G13" s="500">
        <v>856</v>
      </c>
      <c r="H13" s="501"/>
      <c r="I13" s="500">
        <v>856</v>
      </c>
      <c r="J13" s="501"/>
      <c r="K13" s="15"/>
      <c r="L13" s="27"/>
    </row>
    <row r="14" spans="1:12" x14ac:dyDescent="0.2">
      <c r="A14" s="16"/>
      <c r="B14" s="16"/>
      <c r="C14" s="12"/>
      <c r="D14" s="377"/>
      <c r="E14" s="344"/>
      <c r="F14" s="378"/>
      <c r="G14" s="502">
        <v>880</v>
      </c>
      <c r="H14" s="503"/>
      <c r="I14" s="502">
        <v>880</v>
      </c>
      <c r="J14" s="503"/>
      <c r="K14" s="15"/>
      <c r="L14" s="27"/>
    </row>
    <row r="15" spans="1:12" x14ac:dyDescent="0.2">
      <c r="A15" s="466" t="s">
        <v>231</v>
      </c>
      <c r="D15" s="377"/>
      <c r="E15" s="344"/>
      <c r="F15" s="378"/>
      <c r="G15" s="15"/>
      <c r="H15" s="379"/>
      <c r="I15" s="15"/>
      <c r="J15" s="27"/>
      <c r="K15" s="15"/>
      <c r="L15" s="23"/>
    </row>
    <row r="16" spans="1:12" x14ac:dyDescent="0.2">
      <c r="A16" s="16"/>
      <c r="B16" s="16"/>
      <c r="F16" s="378"/>
      <c r="G16" s="15"/>
      <c r="H16" s="27"/>
      <c r="I16" s="15"/>
      <c r="J16" s="27"/>
    </row>
    <row r="17" spans="1:10" x14ac:dyDescent="0.2">
      <c r="A17" s="16"/>
      <c r="B17" s="16"/>
      <c r="C17" s="267"/>
      <c r="D17" s="377"/>
      <c r="E17" s="344"/>
      <c r="F17" s="378"/>
      <c r="G17" s="15"/>
      <c r="H17" s="27"/>
      <c r="I17" s="15"/>
      <c r="J17" s="27"/>
    </row>
    <row r="18" spans="1:10" x14ac:dyDescent="0.2">
      <c r="A18" s="16"/>
      <c r="B18" s="16"/>
      <c r="C18" s="267"/>
      <c r="D18" s="377"/>
      <c r="E18" s="344"/>
      <c r="F18" s="378"/>
      <c r="G18" s="15"/>
      <c r="H18" s="27"/>
      <c r="I18" s="15"/>
      <c r="J18" s="27"/>
    </row>
    <row r="19" spans="1:10" x14ac:dyDescent="0.2">
      <c r="A19" s="23"/>
      <c r="B19" s="23"/>
      <c r="C19" s="26"/>
      <c r="D19" s="27"/>
      <c r="E19" s="23"/>
      <c r="F19" s="346"/>
      <c r="G19" s="12"/>
      <c r="H19" s="23"/>
      <c r="I19" s="15"/>
      <c r="J19" s="23"/>
    </row>
    <row r="20" spans="1:10" ht="15" x14ac:dyDescent="0.2">
      <c r="A20" s="103"/>
      <c r="B20" s="2"/>
      <c r="C20" s="2"/>
      <c r="D20" s="103" t="s">
        <v>138</v>
      </c>
      <c r="E20" s="471"/>
      <c r="F20" s="471"/>
      <c r="G20" s="466"/>
      <c r="H20" s="459"/>
      <c r="I20" s="15"/>
      <c r="J20" s="27"/>
    </row>
    <row r="21" spans="1:10" ht="15" x14ac:dyDescent="0.2">
      <c r="A21" s="347"/>
      <c r="B21" s="2"/>
      <c r="C21" s="2"/>
      <c r="D21" s="103" t="s">
        <v>139</v>
      </c>
      <c r="E21" s="472"/>
      <c r="F21" s="472"/>
      <c r="G21" s="471"/>
      <c r="H21" s="459"/>
      <c r="I21" s="15"/>
      <c r="J21" s="27"/>
    </row>
    <row r="22" spans="1:10" x14ac:dyDescent="0.2">
      <c r="A22" s="26"/>
      <c r="B22" s="28"/>
      <c r="C22" s="49"/>
      <c r="D22" s="473" t="s">
        <v>234</v>
      </c>
      <c r="E22" s="474" t="s">
        <v>43</v>
      </c>
      <c r="F22" s="475" t="s">
        <v>44</v>
      </c>
      <c r="G22" s="471"/>
      <c r="H22" s="459"/>
      <c r="I22" s="15"/>
      <c r="J22" s="27"/>
    </row>
    <row r="23" spans="1:10" x14ac:dyDescent="0.2">
      <c r="A23" s="26"/>
      <c r="B23" s="375"/>
      <c r="C23" s="49"/>
      <c r="D23" s="476" t="s">
        <v>235</v>
      </c>
      <c r="E23" s="477" t="s">
        <v>19</v>
      </c>
      <c r="F23" s="36" t="s">
        <v>9</v>
      </c>
      <c r="G23" s="471"/>
      <c r="H23" s="459"/>
      <c r="I23" s="15"/>
      <c r="J23" s="27"/>
    </row>
    <row r="24" spans="1:10" x14ac:dyDescent="0.2">
      <c r="A24" s="26"/>
      <c r="B24" s="375"/>
      <c r="C24" s="49"/>
      <c r="D24" s="476"/>
      <c r="E24" s="478">
        <f>IF($D$25="X", E25,IF($D$26="X",E26,1/0))</f>
        <v>8900</v>
      </c>
      <c r="F24" s="481">
        <f>IF($D$25="X", F25,IF($D$26="X",F26,1/0))</f>
        <v>90.120370370370381</v>
      </c>
      <c r="G24" s="471" t="s">
        <v>236</v>
      </c>
      <c r="H24" s="459"/>
      <c r="I24" s="15"/>
      <c r="J24" s="27"/>
    </row>
    <row r="25" spans="1:10" x14ac:dyDescent="0.2">
      <c r="A25" s="2"/>
      <c r="B25" s="2"/>
      <c r="C25" s="2"/>
      <c r="D25" s="479" t="s">
        <v>235</v>
      </c>
      <c r="E25" s="480">
        <f>ROUND(COS(RADIANS(0.9*F25))*measurement!B59,0)</f>
        <v>8900</v>
      </c>
      <c r="F25" s="407">
        <f>IF(calculations!C15&gt;100, calculations!C15-200, calculations!C15)</f>
        <v>90.120370370370381</v>
      </c>
      <c r="G25" s="471" t="s">
        <v>232</v>
      </c>
      <c r="H25" s="459"/>
      <c r="I25" s="15"/>
      <c r="J25" s="27"/>
    </row>
    <row r="26" spans="1:10" x14ac:dyDescent="0.2">
      <c r="A26" s="2"/>
      <c r="B26" s="2"/>
      <c r="C26" s="2"/>
      <c r="D26" s="479" t="s">
        <v>1</v>
      </c>
      <c r="E26" s="480">
        <v>4000</v>
      </c>
      <c r="F26" s="407">
        <v>95</v>
      </c>
      <c r="G26" s="471" t="s">
        <v>233</v>
      </c>
      <c r="H26" s="459"/>
      <c r="I26" s="15"/>
      <c r="J26" s="27"/>
    </row>
    <row r="27" spans="1:10" x14ac:dyDescent="0.2">
      <c r="A27" s="2"/>
      <c r="B27" s="2"/>
      <c r="C27" s="2"/>
      <c r="D27" s="2"/>
      <c r="E27" s="16"/>
      <c r="F27" s="344"/>
      <c r="G27" s="28"/>
      <c r="H27" s="2"/>
      <c r="I27" s="12"/>
      <c r="J27" s="23"/>
    </row>
    <row r="28" spans="1:10" x14ac:dyDescent="0.2">
      <c r="A28" s="2"/>
      <c r="B28" s="2"/>
      <c r="C28" s="2"/>
      <c r="D28" s="2"/>
      <c r="E28" s="16"/>
      <c r="F28" s="344"/>
      <c r="G28" s="28"/>
      <c r="H28" s="2"/>
      <c r="I28" s="102"/>
      <c r="J28" s="102"/>
    </row>
    <row r="29" spans="1:10" x14ac:dyDescent="0.2">
      <c r="A29" s="2"/>
      <c r="B29" s="2"/>
      <c r="C29" s="2"/>
      <c r="D29" s="2"/>
      <c r="E29" s="16"/>
      <c r="F29" s="344"/>
      <c r="G29" s="28"/>
      <c r="H29" s="2"/>
      <c r="I29" s="102"/>
      <c r="J29" s="102"/>
    </row>
    <row r="30" spans="1:10" x14ac:dyDescent="0.2">
      <c r="A30" s="590" t="str">
        <f>measurement!F3</f>
        <v>USGS Order</v>
      </c>
      <c r="B30" s="590"/>
      <c r="C30" s="590"/>
      <c r="D30" s="2"/>
      <c r="E30" s="16"/>
      <c r="F30" s="344"/>
      <c r="G30" s="28"/>
      <c r="H30" s="2"/>
      <c r="I30" s="26"/>
      <c r="J30" s="381"/>
    </row>
    <row r="31" spans="1:10" x14ac:dyDescent="0.2">
      <c r="I31" s="26"/>
      <c r="J31" s="381"/>
    </row>
    <row r="32" spans="1:10" x14ac:dyDescent="0.2">
      <c r="A32" s="23"/>
      <c r="B32" s="16"/>
      <c r="C32" s="267"/>
      <c r="D32" s="377"/>
      <c r="E32" s="344"/>
      <c r="F32" s="380"/>
      <c r="G32" s="15"/>
      <c r="H32" s="27"/>
      <c r="I32" s="26"/>
      <c r="J32" s="381"/>
    </row>
    <row r="33" spans="1:10" x14ac:dyDescent="0.2">
      <c r="A33" s="23"/>
      <c r="B33" s="16"/>
      <c r="C33" s="267"/>
      <c r="D33" s="377"/>
      <c r="E33" s="344"/>
      <c r="F33" s="380"/>
      <c r="G33" s="15"/>
      <c r="H33" s="27"/>
      <c r="I33" s="26"/>
      <c r="J33" s="381"/>
    </row>
    <row r="34" spans="1:10" x14ac:dyDescent="0.2">
      <c r="A34" s="23"/>
      <c r="B34" s="23"/>
      <c r="C34" s="12"/>
      <c r="D34" s="27"/>
      <c r="E34" s="23"/>
      <c r="F34" s="346"/>
      <c r="G34" s="12"/>
      <c r="H34" s="23"/>
      <c r="I34" s="23"/>
      <c r="J34" s="23"/>
    </row>
    <row r="35" spans="1:10" x14ac:dyDescent="0.2">
      <c r="A35" s="16"/>
      <c r="B35" s="16"/>
      <c r="C35" s="12"/>
      <c r="D35" s="377"/>
      <c r="E35" s="344"/>
      <c r="F35" s="380"/>
      <c r="G35" s="345"/>
      <c r="H35" s="379"/>
      <c r="I35" s="23"/>
      <c r="J35" s="23"/>
    </row>
    <row r="36" spans="1:10" x14ac:dyDescent="0.2">
      <c r="A36" s="23"/>
      <c r="B36" s="23"/>
      <c r="C36" s="12"/>
      <c r="D36" s="377"/>
      <c r="E36" s="344"/>
      <c r="F36" s="380"/>
      <c r="G36" s="15"/>
      <c r="H36" s="379"/>
      <c r="I36" s="23"/>
      <c r="J36" s="23"/>
    </row>
    <row r="37" spans="1:10" x14ac:dyDescent="0.2">
      <c r="A37" s="23"/>
      <c r="B37" s="16"/>
      <c r="C37" s="12"/>
      <c r="D37" s="377"/>
      <c r="E37" s="344"/>
      <c r="F37" s="380"/>
      <c r="G37" s="15"/>
      <c r="H37" s="27"/>
      <c r="I37" s="23"/>
      <c r="J37" s="23"/>
    </row>
    <row r="38" spans="1:10" x14ac:dyDescent="0.2">
      <c r="A38" s="23"/>
      <c r="B38" s="16"/>
      <c r="C38" s="267"/>
      <c r="D38" s="377"/>
      <c r="E38" s="344"/>
      <c r="F38" s="380"/>
      <c r="G38" s="15"/>
      <c r="H38" s="27"/>
      <c r="I38" s="23"/>
      <c r="J38" s="23"/>
    </row>
    <row r="39" spans="1:10" x14ac:dyDescent="0.2">
      <c r="A39" s="23"/>
      <c r="B39" s="16"/>
      <c r="C39" s="267"/>
      <c r="D39" s="377"/>
      <c r="E39" s="344"/>
      <c r="F39" s="380"/>
      <c r="G39" s="15"/>
      <c r="H39" s="27"/>
      <c r="I39" s="23"/>
      <c r="J39" s="23"/>
    </row>
    <row r="40" spans="1:10" x14ac:dyDescent="0.2">
      <c r="A40" s="23"/>
      <c r="B40" s="16"/>
      <c r="C40" s="267"/>
      <c r="D40" s="377"/>
      <c r="E40" s="344"/>
      <c r="F40" s="380"/>
      <c r="G40" s="15"/>
      <c r="H40" s="27"/>
      <c r="I40" s="23"/>
      <c r="J40" s="23"/>
    </row>
    <row r="41" spans="1:10" x14ac:dyDescent="0.2">
      <c r="A41" s="23"/>
      <c r="B41" s="23"/>
      <c r="C41" s="12"/>
      <c r="D41" s="27"/>
      <c r="E41" s="23"/>
      <c r="F41" s="346"/>
      <c r="G41" s="12"/>
      <c r="H41" s="23"/>
      <c r="I41" s="23"/>
      <c r="J41" s="23"/>
    </row>
    <row r="42" spans="1:10" x14ac:dyDescent="0.2">
      <c r="A42" s="16"/>
      <c r="B42" s="16"/>
      <c r="C42" s="12"/>
      <c r="D42" s="377"/>
      <c r="E42" s="344"/>
      <c r="F42" s="380"/>
      <c r="G42" s="345"/>
      <c r="H42" s="379"/>
      <c r="I42" s="23"/>
      <c r="J42" s="23"/>
    </row>
    <row r="43" spans="1:10" x14ac:dyDescent="0.2">
      <c r="A43" s="23"/>
      <c r="B43" s="23"/>
      <c r="C43" s="12"/>
      <c r="D43" s="377"/>
      <c r="E43" s="344"/>
      <c r="F43" s="380"/>
      <c r="G43" s="15"/>
      <c r="H43" s="379"/>
      <c r="I43" s="23"/>
      <c r="J43" s="23"/>
    </row>
    <row r="44" spans="1:10" x14ac:dyDescent="0.2">
      <c r="A44" s="23"/>
      <c r="B44" s="16"/>
      <c r="C44" s="12"/>
      <c r="D44" s="377"/>
      <c r="E44" s="344"/>
      <c r="F44" s="380"/>
      <c r="G44" s="15"/>
      <c r="H44" s="27"/>
      <c r="I44" s="23"/>
      <c r="J44" s="23"/>
    </row>
    <row r="45" spans="1:10" x14ac:dyDescent="0.2">
      <c r="A45" s="23"/>
      <c r="B45" s="16"/>
      <c r="C45" s="267"/>
      <c r="D45" s="377"/>
      <c r="E45" s="344"/>
      <c r="F45" s="380"/>
      <c r="G45" s="15"/>
      <c r="H45" s="27"/>
      <c r="I45" s="23"/>
      <c r="J45" s="23"/>
    </row>
    <row r="46" spans="1:10" x14ac:dyDescent="0.2">
      <c r="A46" s="23"/>
      <c r="B46" s="16"/>
      <c r="C46" s="267"/>
      <c r="D46" s="377"/>
      <c r="E46" s="344"/>
      <c r="F46" s="380"/>
      <c r="G46" s="15"/>
      <c r="H46" s="27"/>
      <c r="I46" s="23"/>
      <c r="J46" s="23"/>
    </row>
    <row r="47" spans="1:10" x14ac:dyDescent="0.2">
      <c r="A47" s="23"/>
      <c r="B47" s="16"/>
      <c r="C47" s="267"/>
      <c r="D47" s="377"/>
      <c r="E47" s="344"/>
      <c r="F47" s="380"/>
      <c r="G47" s="15"/>
      <c r="H47" s="27"/>
      <c r="I47" s="23"/>
      <c r="J47" s="23"/>
    </row>
    <row r="48" spans="1:10" x14ac:dyDescent="0.2">
      <c r="A48" s="23"/>
      <c r="B48" s="23"/>
      <c r="C48" s="12"/>
      <c r="D48" s="27"/>
      <c r="E48" s="23"/>
      <c r="F48" s="346"/>
      <c r="G48" s="12"/>
      <c r="H48" s="23"/>
      <c r="I48" s="23"/>
      <c r="J48" s="23"/>
    </row>
    <row r="49" spans="1:10" x14ac:dyDescent="0.2">
      <c r="A49" s="23"/>
      <c r="B49" s="23"/>
      <c r="C49" s="26"/>
      <c r="D49" s="27"/>
      <c r="E49" s="23"/>
      <c r="F49" s="346"/>
      <c r="G49" s="12"/>
      <c r="H49" s="23"/>
      <c r="I49" s="23"/>
      <c r="J49" s="23"/>
    </row>
    <row r="50" spans="1:10" x14ac:dyDescent="0.2">
      <c r="I50" s="23"/>
      <c r="J50" s="23"/>
    </row>
    <row r="51" spans="1:10" ht="15" x14ac:dyDescent="0.2">
      <c r="I51" s="587"/>
      <c r="J51" s="587"/>
    </row>
    <row r="52" spans="1:10" x14ac:dyDescent="0.2">
      <c r="I52" s="26"/>
      <c r="J52" s="23"/>
    </row>
    <row r="53" spans="1:10" x14ac:dyDescent="0.2">
      <c r="I53" s="26"/>
      <c r="J53" s="23"/>
    </row>
    <row r="54" spans="1:10" x14ac:dyDescent="0.2">
      <c r="I54" s="26"/>
      <c r="J54" s="18"/>
    </row>
    <row r="55" spans="1:10" x14ac:dyDescent="0.2">
      <c r="I55" s="376"/>
      <c r="J55" s="18"/>
    </row>
    <row r="56" spans="1:10" x14ac:dyDescent="0.2">
      <c r="I56" s="376"/>
      <c r="J56" s="18"/>
    </row>
    <row r="57" spans="1:10" x14ac:dyDescent="0.2">
      <c r="I57" s="26"/>
      <c r="J57" s="23"/>
    </row>
    <row r="58" spans="1:10" x14ac:dyDescent="0.2">
      <c r="I58" s="26"/>
      <c r="J58" s="23"/>
    </row>
    <row r="59" spans="1:10" x14ac:dyDescent="0.2">
      <c r="I59" s="26"/>
      <c r="J59" s="23"/>
    </row>
    <row r="60" spans="1:10" x14ac:dyDescent="0.2">
      <c r="I60" s="26"/>
      <c r="J60" s="23"/>
    </row>
    <row r="61" spans="1:10" x14ac:dyDescent="0.2">
      <c r="J61" s="237"/>
    </row>
    <row r="64" spans="1:10" x14ac:dyDescent="0.2">
      <c r="A64" s="10" t="s">
        <v>1</v>
      </c>
      <c r="B64" s="10"/>
      <c r="C64" s="10" t="s">
        <v>1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</row>
  </sheetData>
  <mergeCells count="4">
    <mergeCell ref="I51:J51"/>
    <mergeCell ref="B4:D4"/>
    <mergeCell ref="D1:G1"/>
    <mergeCell ref="A30:C30"/>
  </mergeCells>
  <phoneticPr fontId="0" type="noConversion"/>
  <pageMargins left="0.59055118110236227" right="0.19685039370078741" top="0.59055118110236227" bottom="0.39370078740157483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6"/>
  <sheetViews>
    <sheetView zoomScale="105" workbookViewId="0">
      <selection activeCell="E5" sqref="E5"/>
    </sheetView>
  </sheetViews>
  <sheetFormatPr defaultColWidth="8.5703125" defaultRowHeight="12.75" x14ac:dyDescent="0.2"/>
  <cols>
    <col min="1" max="2" width="7.7109375" customWidth="1"/>
    <col min="3" max="4" width="6.7109375" customWidth="1"/>
    <col min="5" max="10" width="7.7109375" customWidth="1"/>
    <col min="11" max="19" width="6.140625" customWidth="1"/>
    <col min="20" max="20" width="6.7109375" customWidth="1"/>
    <col min="21" max="21" width="8.5703125" customWidth="1"/>
    <col min="22" max="22" width="8.5703125" style="338" customWidth="1"/>
  </cols>
  <sheetData>
    <row r="1" spans="1:26" ht="20.25" x14ac:dyDescent="0.3">
      <c r="A1" s="585" t="s">
        <v>202</v>
      </c>
      <c r="B1" s="585"/>
      <c r="C1" s="585"/>
      <c r="D1" s="585"/>
      <c r="E1" s="585"/>
      <c r="F1" s="54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342"/>
      <c r="V1" s="348"/>
    </row>
    <row r="2" spans="1:26" x14ac:dyDescent="0.2">
      <c r="A2" s="55" t="s">
        <v>1</v>
      </c>
      <c r="B2" s="55" t="s">
        <v>1</v>
      </c>
      <c r="C2" s="55" t="s">
        <v>1</v>
      </c>
      <c r="D2" s="55" t="s">
        <v>1</v>
      </c>
      <c r="E2" s="55" t="s">
        <v>1</v>
      </c>
      <c r="F2" s="55" t="s">
        <v>1</v>
      </c>
      <c r="G2" s="55" t="s">
        <v>1</v>
      </c>
      <c r="H2" s="55" t="s">
        <v>1</v>
      </c>
      <c r="I2" s="55" t="s">
        <v>1</v>
      </c>
      <c r="J2" s="55" t="s">
        <v>1</v>
      </c>
      <c r="K2" s="55" t="s">
        <v>1</v>
      </c>
      <c r="L2" s="53"/>
      <c r="M2" s="53"/>
      <c r="N2" s="53"/>
      <c r="O2" s="53"/>
      <c r="P2" s="53"/>
      <c r="Q2" s="53"/>
      <c r="R2" s="53"/>
      <c r="S2" s="53"/>
      <c r="T2" s="53"/>
      <c r="U2" s="342"/>
      <c r="V2" s="348"/>
    </row>
    <row r="3" spans="1:26" x14ac:dyDescent="0.2">
      <c r="A3" s="56" t="s">
        <v>142</v>
      </c>
      <c r="B3" s="57" t="s">
        <v>143</v>
      </c>
      <c r="C3" s="57" t="s">
        <v>108</v>
      </c>
      <c r="D3" s="58" t="s">
        <v>2</v>
      </c>
      <c r="E3" s="592" t="s">
        <v>144</v>
      </c>
      <c r="F3" s="593"/>
      <c r="G3" s="59" t="s">
        <v>203</v>
      </c>
      <c r="H3" s="60" t="s">
        <v>111</v>
      </c>
      <c r="I3" s="61"/>
      <c r="J3" s="56" t="s">
        <v>3</v>
      </c>
      <c r="K3" s="387"/>
      <c r="L3" s="387"/>
      <c r="M3" s="53"/>
      <c r="N3" s="79"/>
      <c r="O3" s="78"/>
      <c r="P3" s="349"/>
      <c r="Q3" s="53"/>
      <c r="R3" s="53"/>
      <c r="S3" s="53"/>
      <c r="T3" s="53"/>
      <c r="U3" s="342"/>
      <c r="V3" s="348"/>
    </row>
    <row r="4" spans="1:26" x14ac:dyDescent="0.2">
      <c r="A4" s="62" t="s">
        <v>4</v>
      </c>
      <c r="B4" s="63" t="s">
        <v>107</v>
      </c>
      <c r="C4" s="63" t="s">
        <v>5</v>
      </c>
      <c r="D4" s="64" t="s">
        <v>204</v>
      </c>
      <c r="E4" s="154" t="s">
        <v>6</v>
      </c>
      <c r="F4" s="65" t="s">
        <v>7</v>
      </c>
      <c r="G4" s="65" t="s">
        <v>7</v>
      </c>
      <c r="H4" s="66" t="s">
        <v>8</v>
      </c>
      <c r="I4" s="65" t="s">
        <v>112</v>
      </c>
      <c r="J4" s="62" t="s">
        <v>8</v>
      </c>
      <c r="K4" s="486"/>
      <c r="L4" s="486"/>
      <c r="M4" s="53"/>
      <c r="N4" s="53"/>
      <c r="O4" s="53"/>
      <c r="P4" s="53"/>
      <c r="Q4" s="53"/>
      <c r="R4" s="53"/>
      <c r="S4" s="53"/>
      <c r="T4" s="53"/>
      <c r="U4" s="342"/>
      <c r="V4" s="348"/>
    </row>
    <row r="5" spans="1:26" x14ac:dyDescent="0.2">
      <c r="A5" s="67" t="str">
        <f>measurement!A8</f>
        <v>DED</v>
      </c>
      <c r="B5" s="68">
        <f>measurement!B8</f>
        <v>2014</v>
      </c>
      <c r="C5" s="69">
        <f>measurement!C8</f>
        <v>130</v>
      </c>
      <c r="D5" s="70">
        <f>measurement!D8</f>
        <v>306</v>
      </c>
      <c r="E5" s="155" t="str">
        <f>measurement!E8</f>
        <v>JS</v>
      </c>
      <c r="F5" s="249">
        <v>1</v>
      </c>
      <c r="G5" s="71">
        <f>measurement!F8</f>
        <v>1</v>
      </c>
      <c r="H5" s="72">
        <f>measurement!G8</f>
        <v>10</v>
      </c>
      <c r="I5" s="73" t="str">
        <f>measurement!H8</f>
        <v>DMS</v>
      </c>
      <c r="J5" s="506">
        <f>measurement!I8</f>
        <v>10</v>
      </c>
      <c r="K5" s="487"/>
      <c r="L5" s="487"/>
      <c r="M5" s="53"/>
      <c r="N5" s="156"/>
      <c r="O5" s="79"/>
      <c r="P5" s="157"/>
      <c r="Q5" s="53"/>
      <c r="R5" s="53"/>
      <c r="S5" s="53"/>
      <c r="T5" s="53"/>
      <c r="U5" s="342"/>
      <c r="V5" s="348"/>
    </row>
    <row r="6" spans="1:26" x14ac:dyDescent="0.2">
      <c r="A6" s="55" t="s">
        <v>1</v>
      </c>
      <c r="B6" s="55" t="s">
        <v>1</v>
      </c>
      <c r="C6" s="55" t="s">
        <v>1</v>
      </c>
      <c r="D6" s="55" t="s">
        <v>1</v>
      </c>
      <c r="E6" s="55"/>
      <c r="F6" s="55" t="s">
        <v>1</v>
      </c>
      <c r="G6" s="55" t="s">
        <v>1</v>
      </c>
      <c r="H6" s="55" t="s">
        <v>1</v>
      </c>
      <c r="I6" s="55" t="s">
        <v>1</v>
      </c>
      <c r="J6" s="55" t="s">
        <v>1</v>
      </c>
      <c r="K6" s="55" t="s">
        <v>1</v>
      </c>
      <c r="L6" s="74" t="s">
        <v>45</v>
      </c>
      <c r="M6" s="53"/>
      <c r="N6" s="53"/>
      <c r="O6" s="53"/>
      <c r="P6" s="53"/>
      <c r="Q6" s="53"/>
      <c r="R6" s="53"/>
      <c r="S6" s="53"/>
      <c r="T6" s="53"/>
      <c r="U6" s="342"/>
      <c r="V6" s="348"/>
    </row>
    <row r="7" spans="1:26" x14ac:dyDescent="0.2">
      <c r="A7" s="55" t="s">
        <v>1</v>
      </c>
      <c r="B7" s="55" t="s">
        <v>1</v>
      </c>
      <c r="C7" s="55" t="s">
        <v>1</v>
      </c>
      <c r="D7" s="55" t="s">
        <v>1</v>
      </c>
      <c r="E7" s="55" t="s">
        <v>1</v>
      </c>
      <c r="F7" s="55" t="s">
        <v>1</v>
      </c>
      <c r="G7" s="388"/>
      <c r="H7" s="388"/>
      <c r="I7" s="388"/>
      <c r="J7" s="388"/>
      <c r="K7" s="55" t="s">
        <v>1</v>
      </c>
      <c r="L7" s="74" t="s">
        <v>45</v>
      </c>
      <c r="M7" s="53"/>
      <c r="N7" s="53"/>
      <c r="O7" s="53"/>
      <c r="P7" s="53"/>
      <c r="Q7" s="53"/>
      <c r="R7" s="53"/>
      <c r="S7" s="53"/>
      <c r="T7" s="53"/>
      <c r="U7" s="342"/>
      <c r="V7" s="348"/>
    </row>
    <row r="8" spans="1:26" x14ac:dyDescent="0.2">
      <c r="A8" s="386"/>
      <c r="B8" s="387"/>
      <c r="C8" s="388"/>
      <c r="D8" s="388"/>
      <c r="E8" s="594"/>
      <c r="F8" s="594"/>
      <c r="G8" s="430"/>
      <c r="H8" s="594"/>
      <c r="I8" s="594"/>
      <c r="J8" s="430"/>
      <c r="K8" s="594"/>
      <c r="L8" s="594"/>
      <c r="M8" s="53"/>
      <c r="N8" s="53"/>
      <c r="O8" s="53"/>
      <c r="P8" s="53"/>
      <c r="Q8" s="53"/>
      <c r="R8" s="53"/>
      <c r="S8" s="53"/>
      <c r="T8" s="53"/>
      <c r="U8" s="342"/>
      <c r="V8" s="348"/>
    </row>
    <row r="9" spans="1:26" x14ac:dyDescent="0.2">
      <c r="A9" s="78"/>
      <c r="B9" s="384"/>
      <c r="C9" s="78"/>
      <c r="D9" s="76"/>
      <c r="E9" s="78"/>
      <c r="F9" s="384"/>
      <c r="G9" s="76"/>
      <c r="H9" s="78"/>
      <c r="I9" s="384"/>
      <c r="J9" s="76"/>
      <c r="K9" s="78"/>
      <c r="L9" s="384"/>
      <c r="M9" s="53"/>
      <c r="N9" s="75"/>
      <c r="O9" s="53"/>
      <c r="P9" s="53"/>
      <c r="Q9" s="53"/>
      <c r="R9" s="53"/>
      <c r="S9" s="53"/>
      <c r="T9" s="53"/>
      <c r="U9" s="342"/>
      <c r="V9" s="348"/>
    </row>
    <row r="10" spans="1:26" x14ac:dyDescent="0.2">
      <c r="A10" s="349"/>
      <c r="B10" s="349"/>
      <c r="C10" s="349"/>
      <c r="D10" s="76"/>
      <c r="E10" s="385"/>
      <c r="F10" s="385"/>
      <c r="G10" s="76"/>
      <c r="H10" s="385"/>
      <c r="I10" s="385"/>
      <c r="J10" s="76"/>
      <c r="K10" s="385"/>
      <c r="L10" s="385"/>
      <c r="M10" s="53"/>
      <c r="N10" s="53"/>
      <c r="O10" s="53"/>
      <c r="P10" s="53"/>
      <c r="Q10" s="53"/>
      <c r="R10" s="53"/>
      <c r="S10" s="53"/>
      <c r="T10" s="53"/>
      <c r="U10" s="342"/>
      <c r="V10" s="348"/>
    </row>
    <row r="11" spans="1:26" x14ac:dyDescent="0.2">
      <c r="A11" s="349"/>
      <c r="B11" s="349"/>
      <c r="C11" s="349"/>
      <c r="D11" s="76"/>
      <c r="E11" s="385"/>
      <c r="F11" s="385"/>
      <c r="G11" s="77"/>
      <c r="H11" s="385"/>
      <c r="I11" s="385"/>
      <c r="J11" s="76"/>
      <c r="K11" s="349"/>
      <c r="L11" s="349"/>
      <c r="M11" s="53"/>
      <c r="N11" s="53"/>
      <c r="O11" s="53"/>
      <c r="P11" s="53"/>
      <c r="Q11" s="53"/>
      <c r="R11" s="53"/>
      <c r="S11" s="53"/>
      <c r="T11" s="53"/>
      <c r="U11" s="342"/>
      <c r="V11" s="348"/>
    </row>
    <row r="12" spans="1:26" x14ac:dyDescent="0.2">
      <c r="A12" s="349"/>
      <c r="B12" s="349"/>
      <c r="C12" s="349"/>
      <c r="D12" s="76"/>
      <c r="E12" s="385"/>
      <c r="F12" s="385"/>
      <c r="G12" s="76"/>
      <c r="H12" s="385"/>
      <c r="I12" s="385"/>
      <c r="J12" s="76"/>
      <c r="K12" s="385"/>
      <c r="L12" s="385"/>
      <c r="M12" s="53"/>
      <c r="N12" s="53"/>
      <c r="O12" s="53"/>
      <c r="P12" s="53"/>
      <c r="Q12" s="53"/>
      <c r="R12" s="53"/>
      <c r="S12" s="53"/>
      <c r="T12" s="53"/>
      <c r="U12" s="342"/>
      <c r="V12" s="348"/>
    </row>
    <row r="13" spans="1:26" x14ac:dyDescent="0.2">
      <c r="A13" s="76"/>
      <c r="B13" s="78"/>
      <c r="C13" s="76"/>
      <c r="D13" s="76"/>
      <c r="E13" s="385"/>
      <c r="F13" s="385"/>
      <c r="G13" s="80"/>
      <c r="H13" s="76"/>
      <c r="I13" s="76"/>
      <c r="J13" s="76"/>
      <c r="K13" s="385"/>
      <c r="L13" s="385"/>
      <c r="M13" s="53"/>
      <c r="N13" s="53"/>
      <c r="O13" s="53"/>
      <c r="P13" s="53"/>
      <c r="Q13" s="53"/>
      <c r="R13" s="53"/>
      <c r="S13" s="53"/>
      <c r="T13" s="53"/>
      <c r="U13" s="342"/>
      <c r="V13" s="348"/>
    </row>
    <row r="14" spans="1:26" x14ac:dyDescent="0.2">
      <c r="A14" s="76"/>
      <c r="B14" s="77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342"/>
      <c r="V14" s="348"/>
    </row>
    <row r="15" spans="1:26" ht="15.75" x14ac:dyDescent="0.25">
      <c r="A15" s="51" t="s">
        <v>205</v>
      </c>
      <c r="B15" s="81"/>
      <c r="C15" s="81"/>
      <c r="D15" s="55"/>
      <c r="E15" s="55"/>
      <c r="F15" s="55"/>
      <c r="G15" s="55" t="s">
        <v>1</v>
      </c>
      <c r="H15" s="55" t="s">
        <v>1</v>
      </c>
      <c r="I15" s="55" t="s">
        <v>1</v>
      </c>
      <c r="J15" s="55" t="s">
        <v>1</v>
      </c>
      <c r="K15" s="55" t="s">
        <v>1</v>
      </c>
      <c r="L15" s="55" t="s">
        <v>1</v>
      </c>
      <c r="M15" s="55" t="s">
        <v>1</v>
      </c>
      <c r="N15" s="55" t="s">
        <v>1</v>
      </c>
      <c r="O15" s="55" t="s">
        <v>1</v>
      </c>
      <c r="P15" s="55" t="s">
        <v>1</v>
      </c>
      <c r="Q15" s="55" t="s">
        <v>1</v>
      </c>
      <c r="R15" s="55" t="s">
        <v>1</v>
      </c>
      <c r="S15" s="55" t="s">
        <v>1</v>
      </c>
      <c r="T15" s="55" t="s">
        <v>1</v>
      </c>
      <c r="U15" s="342"/>
      <c r="V15" s="348"/>
    </row>
    <row r="16" spans="1:26" s="338" customFormat="1" x14ac:dyDescent="0.2">
      <c r="A16" s="56" t="s">
        <v>207</v>
      </c>
      <c r="B16" s="397" t="s">
        <v>108</v>
      </c>
      <c r="C16" s="59" t="s">
        <v>2</v>
      </c>
      <c r="D16" s="59" t="s">
        <v>208</v>
      </c>
      <c r="E16" s="397" t="s">
        <v>46</v>
      </c>
      <c r="F16" s="397" t="s">
        <v>47</v>
      </c>
      <c r="G16" s="59" t="s">
        <v>48</v>
      </c>
      <c r="H16" s="397" t="s">
        <v>49</v>
      </c>
      <c r="I16" s="397" t="s">
        <v>50</v>
      </c>
      <c r="J16" s="59" t="s">
        <v>51</v>
      </c>
      <c r="K16" s="397" t="s">
        <v>25</v>
      </c>
      <c r="L16" s="397" t="s">
        <v>26</v>
      </c>
      <c r="M16" s="59" t="s">
        <v>27</v>
      </c>
      <c r="N16" s="397" t="s">
        <v>52</v>
      </c>
      <c r="O16" s="397" t="s">
        <v>39</v>
      </c>
      <c r="P16" s="443" t="s">
        <v>53</v>
      </c>
      <c r="Q16" s="397" t="s">
        <v>52</v>
      </c>
      <c r="R16" s="443" t="s">
        <v>53</v>
      </c>
      <c r="S16" s="59" t="s">
        <v>61</v>
      </c>
      <c r="T16" s="444" t="s">
        <v>102</v>
      </c>
      <c r="U16" s="59" t="s">
        <v>203</v>
      </c>
      <c r="V16" s="352" t="s">
        <v>103</v>
      </c>
      <c r="W16" s="352" t="s">
        <v>142</v>
      </c>
      <c r="X16" s="352" t="s">
        <v>144</v>
      </c>
      <c r="Y16" s="352" t="s">
        <v>237</v>
      </c>
      <c r="Z16" s="352" t="s">
        <v>3</v>
      </c>
    </row>
    <row r="17" spans="1:26" s="338" customFormat="1" x14ac:dyDescent="0.2">
      <c r="A17" s="445"/>
      <c r="B17" s="446" t="s">
        <v>210</v>
      </c>
      <c r="C17" s="447" t="s">
        <v>204</v>
      </c>
      <c r="D17" s="447" t="s">
        <v>54</v>
      </c>
      <c r="E17" s="446" t="s">
        <v>19</v>
      </c>
      <c r="F17" s="446" t="s">
        <v>55</v>
      </c>
      <c r="G17" s="447" t="s">
        <v>19</v>
      </c>
      <c r="H17" s="446" t="s">
        <v>19</v>
      </c>
      <c r="I17" s="446" t="s">
        <v>56</v>
      </c>
      <c r="J17" s="447" t="s">
        <v>19</v>
      </c>
      <c r="K17" s="446" t="s">
        <v>57</v>
      </c>
      <c r="L17" s="446" t="s">
        <v>57</v>
      </c>
      <c r="M17" s="447" t="s">
        <v>57</v>
      </c>
      <c r="N17" s="446" t="s">
        <v>19</v>
      </c>
      <c r="O17" s="446" t="s">
        <v>19</v>
      </c>
      <c r="P17" s="447" t="s">
        <v>19</v>
      </c>
      <c r="Q17" s="446" t="s">
        <v>19</v>
      </c>
      <c r="R17" s="447" t="s">
        <v>19</v>
      </c>
      <c r="S17" s="447" t="s">
        <v>209</v>
      </c>
      <c r="T17" s="445" t="s">
        <v>19</v>
      </c>
      <c r="U17" s="447" t="s">
        <v>56</v>
      </c>
      <c r="V17" s="445" t="s">
        <v>57</v>
      </c>
      <c r="W17" s="445"/>
      <c r="X17" s="445"/>
      <c r="Y17" s="445" t="s">
        <v>238</v>
      </c>
      <c r="Z17" s="445" t="s">
        <v>239</v>
      </c>
    </row>
    <row r="18" spans="1:26" s="338" customFormat="1" x14ac:dyDescent="0.2">
      <c r="A18" s="431"/>
      <c r="B18" s="432">
        <f>(B5*10000+C5)</f>
        <v>20140130</v>
      </c>
      <c r="C18" s="433">
        <f>D5</f>
        <v>306</v>
      </c>
      <c r="D18" s="434">
        <f>TRUNC(C5/100)+(MOD(C5/100,1)*100-1)/31</f>
        <v>1.935483870967742</v>
      </c>
      <c r="E18" s="435">
        <f ca="1">calculations!K44</f>
        <v>8925.1518499013218</v>
      </c>
      <c r="F18" s="436">
        <f ca="1">calculations!K43</f>
        <v>1940.1</v>
      </c>
      <c r="G18" s="437">
        <f ca="1">calculations!K45</f>
        <v>56895.078999999998</v>
      </c>
      <c r="H18" s="438">
        <f ca="1">calculations!C49</f>
        <v>-183</v>
      </c>
      <c r="I18" s="439">
        <f ca="1">calculations!E49</f>
        <v>2106.94</v>
      </c>
      <c r="J18" s="440">
        <f ca="1">calculations!G49</f>
        <v>37.4</v>
      </c>
      <c r="K18" s="438">
        <f>measurement!I59/10-273.2</f>
        <v>-273.2</v>
      </c>
      <c r="L18" s="438">
        <f>measurement!J59/10-273.2</f>
        <v>-273.2</v>
      </c>
      <c r="M18" s="440">
        <f>measurement!K59/10-273.2</f>
        <v>-273.2</v>
      </c>
      <c r="N18" s="438">
        <f ca="1">calculations!B55</f>
        <v>1.1190297344092563</v>
      </c>
      <c r="O18" s="438">
        <f ca="1">calculations!C55</f>
        <v>1.5559194847427162</v>
      </c>
      <c r="P18" s="440">
        <f ca="1">calculations!D55</f>
        <v>-36.799203581439365</v>
      </c>
      <c r="Q18" s="438">
        <f ca="1">calculations!B56</f>
        <v>8.6858265336446117</v>
      </c>
      <c r="R18" s="440">
        <f ca="1">calculations!D56</f>
        <v>-29.842135383805392</v>
      </c>
      <c r="S18" s="441">
        <f ca="1">calculations!K52</f>
        <v>0.97809758791884083</v>
      </c>
      <c r="T18" s="442">
        <f ca="1" xml:space="preserve"> 0.5*calculations!K32*(PI()/200)*(calculations!H32-calculations!H33-calculations!H34+calculations!H35+(200/PI())*(-ATAN((calculations!G49+calculations!H15)/(calculations!C49+calculations!F15))+ATAN((calculations!G49+calculations!H16)/(calculations!C49+calculations!F16))+ATAN((calculations!G49+calculations!H17)/(calculations!C49+calculations!F17))-ATAN((calculations!G49+calculations!H18)/(calculations!C49+calculations!F18))))</f>
        <v>-3.96774752885747</v>
      </c>
      <c r="U18" s="434">
        <f>TRUNC((ROUND((calculations!E39)*54,2))/60)*100+MOD((ROUND((calculations!E39)*54,2))/60,1)*60</f>
        <v>19027.080000000002</v>
      </c>
      <c r="V18" s="442">
        <f>measurement!J61</f>
        <v>19.7</v>
      </c>
      <c r="W18" s="442" t="str">
        <f>measurement!A8</f>
        <v>DED</v>
      </c>
      <c r="X18" s="442" t="str">
        <f>measurement!E8</f>
        <v>JS</v>
      </c>
      <c r="Y18" s="431">
        <f>G5</f>
        <v>1</v>
      </c>
      <c r="Z18" s="506">
        <f>J5</f>
        <v>10</v>
      </c>
    </row>
    <row r="19" spans="1:26" x14ac:dyDescent="0.2">
      <c r="A19" s="55" t="s">
        <v>1</v>
      </c>
      <c r="B19" s="55" t="s">
        <v>1</v>
      </c>
      <c r="C19" s="55" t="s">
        <v>1</v>
      </c>
      <c r="D19" s="55" t="s">
        <v>1</v>
      </c>
      <c r="E19" s="55" t="s">
        <v>1</v>
      </c>
      <c r="F19" s="55" t="s">
        <v>1</v>
      </c>
      <c r="G19" s="55" t="s">
        <v>1</v>
      </c>
      <c r="H19" s="55" t="s">
        <v>1</v>
      </c>
      <c r="I19" s="55" t="s">
        <v>1</v>
      </c>
      <c r="J19" s="55" t="s">
        <v>1</v>
      </c>
      <c r="K19" s="55" t="s">
        <v>1</v>
      </c>
      <c r="L19" s="55" t="s">
        <v>1</v>
      </c>
      <c r="M19" s="55" t="s">
        <v>1</v>
      </c>
      <c r="N19" s="55" t="s">
        <v>1</v>
      </c>
      <c r="O19" s="55" t="s">
        <v>1</v>
      </c>
      <c r="P19" s="55" t="s">
        <v>1</v>
      </c>
      <c r="Q19" s="55" t="s">
        <v>1</v>
      </c>
      <c r="R19" s="55" t="s">
        <v>1</v>
      </c>
      <c r="S19" s="55" t="s">
        <v>1</v>
      </c>
      <c r="T19" s="55" t="s">
        <v>1</v>
      </c>
    </row>
    <row r="20" spans="1:26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</row>
    <row r="21" spans="1:26" ht="15.75" x14ac:dyDescent="0.25">
      <c r="A21" s="51" t="s">
        <v>206</v>
      </c>
      <c r="B21" s="55"/>
      <c r="C21" s="55"/>
      <c r="D21" s="81"/>
      <c r="E21" s="81"/>
      <c r="F21" s="81"/>
      <c r="G21" s="55" t="s">
        <v>1</v>
      </c>
      <c r="H21" s="55" t="s">
        <v>1</v>
      </c>
      <c r="I21" s="55" t="s">
        <v>1</v>
      </c>
      <c r="J21" s="55" t="s">
        <v>1</v>
      </c>
      <c r="K21" s="55" t="s">
        <v>1</v>
      </c>
      <c r="L21" s="55" t="s">
        <v>1</v>
      </c>
      <c r="M21" s="55" t="s">
        <v>1</v>
      </c>
      <c r="N21" s="55" t="s">
        <v>1</v>
      </c>
      <c r="O21" s="55" t="s">
        <v>1</v>
      </c>
      <c r="P21" s="55" t="s">
        <v>1</v>
      </c>
      <c r="Q21" s="55" t="s">
        <v>1</v>
      </c>
      <c r="R21" s="55" t="s">
        <v>1</v>
      </c>
      <c r="S21" s="55" t="s">
        <v>1</v>
      </c>
      <c r="T21" s="55" t="s">
        <v>1</v>
      </c>
    </row>
    <row r="22" spans="1:26" s="338" customFormat="1" x14ac:dyDescent="0.2">
      <c r="A22" s="56" t="s">
        <v>207</v>
      </c>
      <c r="B22" s="397" t="s">
        <v>108</v>
      </c>
      <c r="C22" s="59" t="s">
        <v>2</v>
      </c>
      <c r="D22" s="59" t="s">
        <v>208</v>
      </c>
      <c r="E22" s="397" t="s">
        <v>46</v>
      </c>
      <c r="F22" s="397" t="s">
        <v>47</v>
      </c>
      <c r="G22" s="59" t="s">
        <v>48</v>
      </c>
      <c r="H22" s="397" t="s">
        <v>58</v>
      </c>
      <c r="I22" s="397" t="s">
        <v>59</v>
      </c>
      <c r="J22" s="59" t="s">
        <v>60</v>
      </c>
      <c r="K22" s="397" t="s">
        <v>25</v>
      </c>
      <c r="L22" s="397" t="s">
        <v>26</v>
      </c>
      <c r="M22" s="59" t="s">
        <v>27</v>
      </c>
      <c r="N22" s="397" t="s">
        <v>52</v>
      </c>
      <c r="O22" s="397" t="s">
        <v>39</v>
      </c>
      <c r="P22" s="443" t="s">
        <v>53</v>
      </c>
      <c r="Q22" s="397" t="s">
        <v>52</v>
      </c>
      <c r="R22" s="443" t="s">
        <v>53</v>
      </c>
      <c r="S22" s="59" t="s">
        <v>61</v>
      </c>
    </row>
    <row r="23" spans="1:26" s="338" customFormat="1" x14ac:dyDescent="0.2">
      <c r="A23" s="445"/>
      <c r="B23" s="446" t="s">
        <v>210</v>
      </c>
      <c r="C23" s="447" t="s">
        <v>204</v>
      </c>
      <c r="D23" s="447" t="s">
        <v>54</v>
      </c>
      <c r="E23" s="446" t="s">
        <v>19</v>
      </c>
      <c r="F23" s="446" t="s">
        <v>55</v>
      </c>
      <c r="G23" s="447" t="s">
        <v>19</v>
      </c>
      <c r="H23" s="446" t="s">
        <v>19</v>
      </c>
      <c r="I23" s="446" t="s">
        <v>56</v>
      </c>
      <c r="J23" s="447" t="s">
        <v>19</v>
      </c>
      <c r="K23" s="446" t="s">
        <v>57</v>
      </c>
      <c r="L23" s="446" t="s">
        <v>57</v>
      </c>
      <c r="M23" s="447" t="s">
        <v>57</v>
      </c>
      <c r="N23" s="446" t="s">
        <v>19</v>
      </c>
      <c r="O23" s="446" t="s">
        <v>19</v>
      </c>
      <c r="P23" s="447" t="s">
        <v>19</v>
      </c>
      <c r="Q23" s="446" t="s">
        <v>19</v>
      </c>
      <c r="R23" s="447" t="s">
        <v>19</v>
      </c>
      <c r="S23" s="447" t="s">
        <v>209</v>
      </c>
    </row>
    <row r="24" spans="1:26" s="338" customFormat="1" x14ac:dyDescent="0.2">
      <c r="A24" s="431"/>
      <c r="B24" s="432">
        <f t="shared" ref="B24:G24" si="0">B18</f>
        <v>20140130</v>
      </c>
      <c r="C24" s="433">
        <f t="shared" si="0"/>
        <v>306</v>
      </c>
      <c r="D24" s="434">
        <f t="shared" si="0"/>
        <v>1.935483870967742</v>
      </c>
      <c r="E24" s="438">
        <f t="shared" ca="1" si="0"/>
        <v>8925.1518499013218</v>
      </c>
      <c r="F24" s="438">
        <f t="shared" ca="1" si="0"/>
        <v>1940.1</v>
      </c>
      <c r="G24" s="448">
        <f t="shared" ca="1" si="0"/>
        <v>56895.078999999998</v>
      </c>
      <c r="H24" s="438" t="e">
        <f ca="1">calculations!C50</f>
        <v>#DIV/0!</v>
      </c>
      <c r="I24" s="439" t="e">
        <f ca="1">calculations!E50</f>
        <v>#DIV/0!</v>
      </c>
      <c r="J24" s="440" t="e">
        <f ca="1">calculations!G50</f>
        <v>#DIV/0!</v>
      </c>
      <c r="K24" s="438">
        <f>measurement!I60/10-273.2</f>
        <v>-273.2</v>
      </c>
      <c r="L24" s="438">
        <f>measurement!J60/10-273.2</f>
        <v>-273.2</v>
      </c>
      <c r="M24" s="440">
        <f>measurement!K59/10-273.2</f>
        <v>-273.2</v>
      </c>
      <c r="N24" s="438">
        <f t="shared" ref="N24:S24" ca="1" si="1">N18</f>
        <v>1.1190297344092563</v>
      </c>
      <c r="O24" s="438">
        <f t="shared" ca="1" si="1"/>
        <v>1.5559194847427162</v>
      </c>
      <c r="P24" s="440">
        <f t="shared" ca="1" si="1"/>
        <v>-36.799203581439365</v>
      </c>
      <c r="Q24" s="438">
        <f t="shared" ca="1" si="1"/>
        <v>8.6858265336446117</v>
      </c>
      <c r="R24" s="440">
        <f t="shared" ca="1" si="1"/>
        <v>-29.842135383805392</v>
      </c>
      <c r="S24" s="441">
        <f t="shared" ca="1" si="1"/>
        <v>0.97809758791884083</v>
      </c>
    </row>
    <row r="25" spans="1:26" x14ac:dyDescent="0.2">
      <c r="A25" s="55" t="s">
        <v>1</v>
      </c>
      <c r="B25" s="55" t="s">
        <v>1</v>
      </c>
      <c r="C25" s="55" t="s">
        <v>1</v>
      </c>
      <c r="D25" s="55" t="s">
        <v>1</v>
      </c>
      <c r="E25" s="55" t="s">
        <v>1</v>
      </c>
      <c r="F25" s="55" t="s">
        <v>1</v>
      </c>
      <c r="G25" s="55" t="s">
        <v>1</v>
      </c>
      <c r="H25" s="55" t="s">
        <v>1</v>
      </c>
      <c r="I25" s="55" t="s">
        <v>1</v>
      </c>
      <c r="J25" s="55" t="s">
        <v>1</v>
      </c>
      <c r="K25" s="55" t="s">
        <v>1</v>
      </c>
      <c r="L25" s="55" t="s">
        <v>1</v>
      </c>
      <c r="M25" s="55" t="s">
        <v>1</v>
      </c>
      <c r="N25" s="55" t="s">
        <v>1</v>
      </c>
      <c r="O25" s="55" t="s">
        <v>1</v>
      </c>
      <c r="P25" s="55" t="s">
        <v>1</v>
      </c>
      <c r="Q25" s="55" t="s">
        <v>1</v>
      </c>
      <c r="R25" s="55" t="s">
        <v>1</v>
      </c>
      <c r="S25" s="55" t="s">
        <v>1</v>
      </c>
      <c r="T25" s="55" t="s">
        <v>1</v>
      </c>
    </row>
    <row r="26" spans="1:26" x14ac:dyDescent="0.2">
      <c r="P26" s="591" t="str">
        <f>measurement!F3</f>
        <v>USGS Order</v>
      </c>
      <c r="Q26" s="591"/>
      <c r="R26" s="591"/>
      <c r="S26" s="591"/>
    </row>
  </sheetData>
  <sheetProtection sheet="1"/>
  <mergeCells count="6">
    <mergeCell ref="A1:E1"/>
    <mergeCell ref="P26:S26"/>
    <mergeCell ref="E3:F3"/>
    <mergeCell ref="E8:F8"/>
    <mergeCell ref="H8:I8"/>
    <mergeCell ref="K8:L8"/>
  </mergeCells>
  <phoneticPr fontId="0" type="noConversion"/>
  <pageMargins left="0.78740157480314965" right="0.19685039370078741" top="0.98425196850393704" bottom="0.98425196850393704" header="0.51181102362204722" footer="0.51181102362204722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36"/>
  <sheetViews>
    <sheetView tabSelected="1" workbookViewId="0"/>
  </sheetViews>
  <sheetFormatPr defaultRowHeight="12.75" x14ac:dyDescent="0.2"/>
  <cols>
    <col min="1" max="1" width="14.7109375" customWidth="1"/>
    <col min="2" max="2" width="11.7109375" customWidth="1"/>
    <col min="3" max="4" width="7.7109375" customWidth="1"/>
    <col min="7" max="7" width="8.7109375" customWidth="1"/>
    <col min="8" max="8" width="7.7109375" customWidth="1"/>
  </cols>
  <sheetData>
    <row r="2" spans="1:8" ht="18" x14ac:dyDescent="0.25">
      <c r="B2" s="521" t="s">
        <v>250</v>
      </c>
      <c r="E2" s="521" t="str">
        <f>measurement!A8</f>
        <v>DED</v>
      </c>
    </row>
    <row r="4" spans="1:8" x14ac:dyDescent="0.2">
      <c r="A4" s="517" t="s">
        <v>251</v>
      </c>
      <c r="B4" s="520">
        <v>808381</v>
      </c>
      <c r="C4" s="516">
        <v>95</v>
      </c>
      <c r="F4" s="517" t="s">
        <v>261</v>
      </c>
      <c r="G4" s="516">
        <f>measurement!C8</f>
        <v>130</v>
      </c>
      <c r="H4" s="522">
        <f>measurement!B8</f>
        <v>2014</v>
      </c>
    </row>
    <row r="5" spans="1:8" x14ac:dyDescent="0.2">
      <c r="A5" s="517" t="s">
        <v>252</v>
      </c>
      <c r="B5" s="564" t="s">
        <v>292</v>
      </c>
      <c r="F5" s="566" t="s">
        <v>293</v>
      </c>
      <c r="G5" t="e">
        <f>calcyjd(G4,H4)</f>
        <v>#VALUE!</v>
      </c>
    </row>
    <row r="6" spans="1:8" x14ac:dyDescent="0.2">
      <c r="A6" s="517" t="s">
        <v>262</v>
      </c>
      <c r="B6" s="527">
        <f>constants!H6</f>
        <v>-1.5</v>
      </c>
      <c r="F6" s="517" t="s">
        <v>109</v>
      </c>
      <c r="G6" s="338" t="str">
        <f>measurement!E8</f>
        <v>JS</v>
      </c>
    </row>
    <row r="7" spans="1:8" x14ac:dyDescent="0.2">
      <c r="A7" s="566" t="s">
        <v>294</v>
      </c>
      <c r="B7" s="527"/>
      <c r="F7" s="517" t="s">
        <v>268</v>
      </c>
      <c r="H7" s="526">
        <f>measurement!J61</f>
        <v>19.7</v>
      </c>
    </row>
    <row r="9" spans="1:8" x14ac:dyDescent="0.2">
      <c r="C9" s="517" t="s">
        <v>259</v>
      </c>
      <c r="F9" s="517" t="s">
        <v>255</v>
      </c>
    </row>
    <row r="10" spans="1:8" x14ac:dyDescent="0.2">
      <c r="C10" s="517" t="s">
        <v>258</v>
      </c>
    </row>
    <row r="11" spans="1:8" x14ac:dyDescent="0.2">
      <c r="B11" s="518" t="s">
        <v>253</v>
      </c>
      <c r="C11" s="518" t="s">
        <v>256</v>
      </c>
      <c r="D11" s="518" t="s">
        <v>254</v>
      </c>
      <c r="E11" s="338"/>
      <c r="F11" s="518" t="s">
        <v>254</v>
      </c>
    </row>
    <row r="12" spans="1:8" x14ac:dyDescent="0.2">
      <c r="B12" s="516">
        <f>measurement!D8</f>
        <v>306</v>
      </c>
      <c r="C12" s="338">
        <f ca="1">TRUNC(calculations!K42/60)</f>
        <v>19</v>
      </c>
      <c r="D12" s="338">
        <f ca="1">MOD(calculations!K42/60,1)*60</f>
        <v>40.09999999999998</v>
      </c>
      <c r="F12" s="519">
        <f ca="1">calculations!E42</f>
        <v>1266.94</v>
      </c>
    </row>
    <row r="15" spans="1:8" x14ac:dyDescent="0.2">
      <c r="C15" s="517" t="s">
        <v>257</v>
      </c>
    </row>
    <row r="16" spans="1:8" x14ac:dyDescent="0.2">
      <c r="C16" s="518" t="s">
        <v>19</v>
      </c>
      <c r="F16" s="518" t="s">
        <v>19</v>
      </c>
    </row>
    <row r="17" spans="2:6" x14ac:dyDescent="0.2">
      <c r="B17" s="516">
        <f>measurement!D8</f>
        <v>306</v>
      </c>
      <c r="C17" s="519">
        <f ca="1">calculations!K44</f>
        <v>8925.1518499013218</v>
      </c>
      <c r="F17" s="519">
        <f ca="1">calculations!C49</f>
        <v>-183</v>
      </c>
    </row>
    <row r="20" spans="2:6" x14ac:dyDescent="0.2">
      <c r="C20" s="517" t="s">
        <v>260</v>
      </c>
    </row>
    <row r="21" spans="2:6" x14ac:dyDescent="0.2">
      <c r="C21" s="518" t="s">
        <v>19</v>
      </c>
      <c r="F21" s="518" t="s">
        <v>19</v>
      </c>
    </row>
    <row r="22" spans="2:6" x14ac:dyDescent="0.2">
      <c r="B22" s="516">
        <f>measurement!D8</f>
        <v>306</v>
      </c>
      <c r="C22" s="519">
        <f ca="1">calculations!K45</f>
        <v>56895.078999999998</v>
      </c>
      <c r="F22" s="519">
        <f ca="1">calculations!G49</f>
        <v>37.4</v>
      </c>
    </row>
    <row r="26" spans="2:6" x14ac:dyDescent="0.2">
      <c r="B26" s="517" t="s">
        <v>263</v>
      </c>
    </row>
    <row r="27" spans="2:6" x14ac:dyDescent="0.2">
      <c r="B27" s="517"/>
    </row>
    <row r="28" spans="2:6" x14ac:dyDescent="0.2">
      <c r="C28" s="518" t="s">
        <v>52</v>
      </c>
      <c r="D28" s="83" t="s">
        <v>39</v>
      </c>
      <c r="E28" s="523" t="s">
        <v>264</v>
      </c>
    </row>
    <row r="29" spans="2:6" x14ac:dyDescent="0.2">
      <c r="B29" s="517" t="s">
        <v>258</v>
      </c>
      <c r="C29" s="524">
        <f ca="1">calculations!B55</f>
        <v>1.1190297344092563</v>
      </c>
      <c r="D29" s="524">
        <f ca="1">calculations!C55</f>
        <v>1.5559194847427162</v>
      </c>
      <c r="E29" s="524">
        <f ca="1">calculations!D55</f>
        <v>-36.799203581439365</v>
      </c>
    </row>
    <row r="30" spans="2:6" x14ac:dyDescent="0.2">
      <c r="B30" s="517" t="s">
        <v>265</v>
      </c>
      <c r="C30" s="524">
        <f ca="1">calculations!B56</f>
        <v>8.6858265336446117</v>
      </c>
      <c r="E30" s="524">
        <f ca="1">calculations!D56</f>
        <v>-29.842135383805392</v>
      </c>
    </row>
    <row r="32" spans="2:6" x14ac:dyDescent="0.2">
      <c r="B32" s="517" t="s">
        <v>266</v>
      </c>
    </row>
    <row r="33" spans="2:4" x14ac:dyDescent="0.2">
      <c r="B33" s="517" t="s">
        <v>267</v>
      </c>
      <c r="D33" s="525">
        <f ca="1">calculations!K52</f>
        <v>0.97809758791884083</v>
      </c>
    </row>
    <row r="36" spans="2:4" x14ac:dyDescent="0.2">
      <c r="B36" s="517" t="s">
        <v>288</v>
      </c>
      <c r="C36" s="565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measurement</vt:lpstr>
      <vt:lpstr>calculations</vt:lpstr>
      <vt:lpstr>constants</vt:lpstr>
      <vt:lpstr>overview</vt:lpstr>
      <vt:lpstr>Summary</vt:lpstr>
      <vt:lpstr>calculations!Print_Area</vt:lpstr>
      <vt:lpstr>constants!Print_Area</vt:lpstr>
      <vt:lpstr>measurement!Print_Area</vt:lpstr>
      <vt:lpstr>overview!Print_Area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</dc:creator>
  <cp:lastModifiedBy>Worthington, Bill</cp:lastModifiedBy>
  <cp:lastPrinted>2014-01-10T20:32:13Z</cp:lastPrinted>
  <dcterms:created xsi:type="dcterms:W3CDTF">2000-11-21T13:18:22Z</dcterms:created>
  <dcterms:modified xsi:type="dcterms:W3CDTF">2014-01-31T17:46:21Z</dcterms:modified>
</cp:coreProperties>
</file>