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480" windowHeight="7350" tabRatio="604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7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45621" iterate="1"/>
</workbook>
</file>

<file path=xl/calcChain.xml><?xml version="1.0" encoding="utf-8"?>
<calcChain xmlns="http://schemas.openxmlformats.org/spreadsheetml/2006/main">
  <c r="C41" i="1" l="1"/>
  <c r="G4" i="5" l="1"/>
  <c r="G5" i="5"/>
  <c r="C43" i="1" l="1"/>
  <c r="F37" i="1"/>
  <c r="G37" i="1"/>
  <c r="H37" i="1"/>
  <c r="D44" i="1"/>
  <c r="D45" i="1" s="1"/>
  <c r="K45" i="1" s="1"/>
  <c r="C20" i="2" s="1"/>
  <c r="D42" i="1"/>
  <c r="D40" i="1"/>
  <c r="D38" i="1"/>
  <c r="K38" i="1" s="1"/>
  <c r="C26" i="1"/>
  <c r="J26" i="1" s="1"/>
  <c r="C24" i="1"/>
  <c r="J24" i="1"/>
  <c r="C22" i="1"/>
  <c r="J22" i="1"/>
  <c r="C20" i="1"/>
  <c r="J41" i="1"/>
  <c r="B17" i="2" s="1"/>
  <c r="H7" i="5"/>
  <c r="B6" i="5"/>
  <c r="G6" i="5"/>
  <c r="H4" i="5"/>
  <c r="E2" i="5"/>
  <c r="H45" i="1"/>
  <c r="H20" i="2" s="1"/>
  <c r="B26" i="2"/>
  <c r="H44" i="1"/>
  <c r="H19" i="2" s="1"/>
  <c r="H43" i="1"/>
  <c r="H42" i="1"/>
  <c r="G45" i="1"/>
  <c r="B25" i="2"/>
  <c r="G20" i="2"/>
  <c r="G44" i="1"/>
  <c r="G43" i="1"/>
  <c r="G42" i="1"/>
  <c r="F45" i="1"/>
  <c r="F20" i="2" s="1"/>
  <c r="B24" i="2"/>
  <c r="F44" i="1"/>
  <c r="F19" i="2" s="1"/>
  <c r="F43" i="1"/>
  <c r="F42" i="1"/>
  <c r="H41" i="1"/>
  <c r="H17" i="2" s="1"/>
  <c r="G41" i="1"/>
  <c r="G17" i="2" s="1"/>
  <c r="F41" i="1"/>
  <c r="F17" i="2"/>
  <c r="H40" i="1"/>
  <c r="G40" i="1"/>
  <c r="F40" i="1"/>
  <c r="H39" i="1"/>
  <c r="H16" i="2" s="1"/>
  <c r="G39" i="1"/>
  <c r="F39" i="1"/>
  <c r="H38" i="1"/>
  <c r="G38" i="1"/>
  <c r="F38" i="1"/>
  <c r="F15" i="2" s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G19" i="2"/>
  <c r="X18" i="4"/>
  <c r="W18" i="4"/>
  <c r="K26" i="2"/>
  <c r="K27" i="2"/>
  <c r="H39" i="2"/>
  <c r="K24" i="2"/>
  <c r="K25" i="2"/>
  <c r="E40" i="2"/>
  <c r="G3" i="2"/>
  <c r="H13" i="1"/>
  <c r="V18" i="4"/>
  <c r="I13" i="1"/>
  <c r="J13" i="1"/>
  <c r="K13" i="1"/>
  <c r="H31" i="1"/>
  <c r="I31" i="1"/>
  <c r="J31" i="1"/>
  <c r="K31" i="1"/>
  <c r="B14" i="2" s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0" i="1"/>
  <c r="B9" i="2" s="1"/>
  <c r="J21" i="1"/>
  <c r="B10" i="2"/>
  <c r="J23" i="1"/>
  <c r="J25" i="1"/>
  <c r="K37" i="1"/>
  <c r="K43" i="1"/>
  <c r="C18" i="2" s="1"/>
  <c r="K41" i="1"/>
  <c r="C17" i="2" s="1"/>
  <c r="K42" i="1"/>
  <c r="K39" i="1"/>
  <c r="K40" i="1"/>
  <c r="C16" i="2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/>
  <c r="I5" i="4"/>
  <c r="H5" i="4"/>
  <c r="C5" i="4"/>
  <c r="D18" i="4" s="1"/>
  <c r="D24" i="4" s="1"/>
  <c r="B5" i="4"/>
  <c r="H38" i="2"/>
  <c r="G10" i="2"/>
  <c r="G15" i="2"/>
  <c r="K34" i="2"/>
  <c r="F9" i="2"/>
  <c r="F16" i="2"/>
  <c r="F10" i="2"/>
  <c r="G11" i="2"/>
  <c r="G12" i="2"/>
  <c r="G9" i="2"/>
  <c r="D17" i="2"/>
  <c r="D20" i="2"/>
  <c r="K51" i="2" s="1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F18" i="2"/>
  <c r="H18" i="2"/>
  <c r="C19" i="2"/>
  <c r="K44" i="1"/>
  <c r="D5" i="4"/>
  <c r="C18" i="4" s="1"/>
  <c r="C24" i="4" s="1"/>
  <c r="B11" i="2"/>
  <c r="J3" i="2"/>
  <c r="B17" i="5"/>
  <c r="B12" i="5"/>
  <c r="C15" i="2" l="1"/>
  <c r="F25" i="3" s="1"/>
  <c r="F24" i="3" s="1"/>
  <c r="B36" i="2" s="1"/>
  <c r="H60" i="2"/>
  <c r="B13" i="2"/>
  <c r="B12" i="2"/>
  <c r="B8" i="2"/>
  <c r="B7" i="2"/>
  <c r="B18" i="4"/>
  <c r="B24" i="4" s="1"/>
  <c r="H59" i="2"/>
  <c r="B19" i="2"/>
  <c r="J43" i="1"/>
  <c r="F31" i="1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<sst xmlns="http://schemas.openxmlformats.org/spreadsheetml/2006/main" count="638" uniqueCount="297">
  <si>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</si>
  <si>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</si>
  <si>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</si>
  <si>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</si>
  <si>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</si>
  <si>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</si>
  <si>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</si>
  <si>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</si>
  <si>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</si>
  <si>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</si>
  <si>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</si>
  <si>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</si>
  <si>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</si>
  <si>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</si>
  <si>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</si>
  <si>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</si>
  <si>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</si>
  <si>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</si>
  <si>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</si>
  <si>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</si>
  <si>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</si>
  <si>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</si>
  <si>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</si>
  <si>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</si>
  <si>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</si>
  <si>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</si>
  <si>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</si>
  <si>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</si>
  <si>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</si>
  <si>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</si>
  <si>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</si>
  <si>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</si>
  <si>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</si>
  <si>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</si>
  <si>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</si>
  <si>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</si>
  <si>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</si>
  <si>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</si>
  <si>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</si>
  <si>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</si>
  <si>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</si>
  <si>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</si>
  <si>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</si>
  <si>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</si>
  <si>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</si>
  <si>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</si>
  <si>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</si>
  <si>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</si>
  <si>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</si>
  <si>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</si>
  <si>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</si>
  <si>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</si>
  <si>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</si>
  <si>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</si>
  <si>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</si>
  <si>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</si>
  <si>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</si>
  <si>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</si>
  <si>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</si>
  <si>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</si>
  <si>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</si>
  <si>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</si>
  <si>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</si>
  <si>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</si>
  <si>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</si>
  <si>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</si>
  <si>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</si>
  <si>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</si>
  <si>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</si>
  <si>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</si>
  <si>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</si>
  <si>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</si>
  <si>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</si>
  <si>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</si>
  <si>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</si>
  <si>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</si>
  <si>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</si>
  <si>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</si>
  <si>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</si>
  <si>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</si>
  <si>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</si>
  <si>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</si>
  <si>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</si>
  <si>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</si>
  <si>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</si>
  <si>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</si>
  <si>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</si>
  <si>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</si>
  <si>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</si>
  <si>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</si>
  <si>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</si>
  <si>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</si>
  <si>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</si>
  <si>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</si>
  <si>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</si>
  <si>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</si>
  <si>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</si>
  <si>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</si>
  <si>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</si>
  <si>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</si>
  <si>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</si>
  <si>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</si>
  <si>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</si>
  <si>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</si>
  <si>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</si>
  <si>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</si>
  <si>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</si>
  <si>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</si>
  <si>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</si>
  <si>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</si>
  <si>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</si>
  <si>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</si>
  <si>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</si>
  <si>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</si>
  <si>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</si>
  <si>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</si>
  <si>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</si>
  <si>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</si>
  <si>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</si>
  <si>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</si>
  <si>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</si>
  <si>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</si>
  <si>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</si>
  <si>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</si>
  <si>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</si>
  <si>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</si>
  <si>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</si>
  <si>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</si>
  <si>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</si>
  <si>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</si>
  <si>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</si>
  <si>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</si>
  <si>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</si>
  <si>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</si>
  <si>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</si>
  <si>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</si>
  <si>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</si>
  <si>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</si>
  <si>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</si>
  <si>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</si>
  <si>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</si>
  <si>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</si>
  <si>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</si>
  <si>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</si>
  <si>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</si>
  <si>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</si>
  <si>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</si>
  <si>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</si>
  <si>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</si>
  <si>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</si>
  <si>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</si>
  <si>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</si>
  <si>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</si>
  <si>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</si>
  <si>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</si>
  <si>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</si>
  <si>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</si>
  <si>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</si>
  <si>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</si>
  <si>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</si>
  <si>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</si>
  <si>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</si>
  <si>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</si>
  <si>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</si>
  <si>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</si>
  <si>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</si>
  <si>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</si>
  <si>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</si>
  <si>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</si>
  <si>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</si>
  <si>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</si>
  <si>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</si>
  <si>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</si>
  <si>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</si>
  <si>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</si>
  <si>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</si>
  <si>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</si>
  <si>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</si>
  <si>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</si>
  <si>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</si>
  <si>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</si>
  <si>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</si>
  <si>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</si>
  <si>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</si>
  <si>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</si>
  <si>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</si>
  <si>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</si>
  <si>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</si>
  <si>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</si>
  <si>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</si>
  <si>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</si>
  <si>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</si>
  <si>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</si>
  <si>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</si>
  <si>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</si>
  <si>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</si>
  <si>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</si>
  <si>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</si>
  <si>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</si>
  <si>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</si>
  <si>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</si>
  <si>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</si>
  <si>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</si>
  <si>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</si>
  <si>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</si>
  <si>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</si>
  <si>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</si>
  <si>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</si>
  <si>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</si>
  <si>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</si>
  <si>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</si>
  <si>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</si>
  <si>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</si>
  <si>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</si>
  <si>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</si>
  <si>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</si>
  <si>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</si>
  <si>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</si>
  <si>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</si>
  <si>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</si>
  <si>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</si>
  <si>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</si>
  <si>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</si>
  <si>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</si>
  <si>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</si>
  <si>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</si>
  <si>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</si>
  <si>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</si>
  <si>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</si>
  <si>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</si>
  <si>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</si>
  <si>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</si>
  <si>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</si>
  <si>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</si>
  <si>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</si>
  <si>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</si>
  <si>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</si>
  <si>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</si>
  <si>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</si>
  <si>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</si>
  <si>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</si>
  <si>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</si>
  <si>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</si>
  <si>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</si>
  <si>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</si>
  <si>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</si>
  <si>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</si>
  <si>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</si>
  <si>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</si>
  <si>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</si>
  <si>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</si>
  <si>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</si>
  <si>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</si>
  <si>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1A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</si>
  <si>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</si>
  <si>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</si>
  <si>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</si>
  <si>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</si>
  <si>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</si>
  <si>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</si>
  <si>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</si>
  <si>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</si>
  <si>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</si>
  <si>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</si>
  <si>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</si>
  <si>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</si>
  <si>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</si>
  <si>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</si>
  <si>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</si>
  <si>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</si>
  <si>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</si>
  <si>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</si>
  <si>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</si>
  <si>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</si>
  <si>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</si>
  <si>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</si>
  <si>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</si>
  <si>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</si>
  <si>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</si>
  <si>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</si>
  <si>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</si>
  <si>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</si>
  <si>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</si>
  <si>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</si>
  <si>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</si>
  <si>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</si>
  <si>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</si>
  <si>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</si>
  <si>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</si>
  <si>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DM</t>
  </si>
  <si>
    <t>Checked By</t>
  </si>
  <si>
    <t>August 2013</t>
  </si>
  <si>
    <t>BOU</t>
  </si>
  <si>
    <t>Version 1.2</t>
  </si>
  <si>
    <t>YearDay</t>
  </si>
  <si>
    <t>BRW</t>
  </si>
  <si>
    <t>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</si>
</sst>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4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168" fontId="29" fillId="0" borderId="2" xfId="0" applyNumberFormat="1" applyFont="1" applyBorder="1" applyProtection="1"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0" fontId="2" fillId="0" borderId="0" xfId="0" applyFont="1" applyAlignment="1">
      <alignment horizontal="center"/>
    </xf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1" fillId="0" borderId="0" xfId="0" applyFont="1"/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30" xfId="0" applyFont="1" applyBorder="1" applyAlignment="1" applyProtection="1">
      <alignment horizontal="center"/>
    </xf>
    <xf numFmtId="0" fontId="31" fillId="0" borderId="5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</xdr:row>
          <xdr:rowOff>133350</xdr:rowOff>
        </xdr:from>
        <xdr:to>
          <xdr:col>14</xdr:col>
          <xdr:colOff>333375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"/>
  <sheetViews>
    <sheetView showGridLines="0" tabSelected="1" zoomScale="130" workbookViewId="0">
      <selection activeCell="N14" sqref="N14"/>
    </sheetView>
  </sheetViews>
  <sheetFormatPr defaultColWidth="8.5703125" defaultRowHeight="12.75" x14ac:dyDescent="0.2"/>
  <cols>
    <col min="1" max="1" width="8.7109375" style="3" customWidth="1"/>
    <col min="2" max="3" width="10.5703125" style="3" bestFit="1" customWidth="1"/>
    <col min="4" max="4" width="8.5703125" style="3" customWidth="1"/>
    <col min="5" max="5" width="8.5703125" style="3"/>
    <col min="6" max="6" width="8.5703125" style="3" customWidth="1"/>
    <col min="7" max="16384" width="8.5703125" style="3"/>
  </cols>
  <sheetData>
    <row r="1" spans="1:12" ht="20.25" x14ac:dyDescent="0.3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5" x14ac:dyDescent="0.2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2">
      <c r="C3" s="2"/>
      <c r="D3" s="5"/>
      <c r="F3" s="449" t="s">
        <v>276</v>
      </c>
      <c r="G3" s="341"/>
      <c r="H3" s="2"/>
      <c r="I3" s="78"/>
      <c r="J3" s="78"/>
      <c r="K3" s="78"/>
      <c r="L3" s="78"/>
    </row>
    <row r="4" spans="1:12" x14ac:dyDescent="0.2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2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2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2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2">
      <c r="A8" s="514" t="s">
        <v>295</v>
      </c>
      <c r="B8" s="398">
        <v>2013</v>
      </c>
      <c r="C8" s="456">
        <v>1231</v>
      </c>
      <c r="D8" s="399">
        <f>TRUNC(B19/100,2)</f>
        <v>0</v>
      </c>
      <c r="E8" s="395" t="s">
        <v>296</v>
      </c>
      <c r="F8" s="400">
        <v>1</v>
      </c>
      <c r="G8" s="451">
        <v>20</v>
      </c>
      <c r="H8" s="395" t="s">
        <v>289</v>
      </c>
      <c r="I8" s="506">
        <v>1</v>
      </c>
      <c r="J8" s="510">
        <v>1</v>
      </c>
      <c r="K8" s="511">
        <v>1</v>
      </c>
    </row>
    <row r="9" spans="1:12" s="11" customFormat="1" x14ac:dyDescent="0.2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2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2">
      <c r="A11" s="571" t="s">
        <v>274</v>
      </c>
      <c r="B11" s="570"/>
      <c r="C11" s="571" t="s">
        <v>275</v>
      </c>
      <c r="D11" s="570"/>
      <c r="E11" s="164"/>
      <c r="H11" s="571" t="s">
        <v>218</v>
      </c>
      <c r="I11" s="570"/>
      <c r="J11" s="569" t="s">
        <v>114</v>
      </c>
      <c r="K11" s="570"/>
    </row>
    <row r="12" spans="1:12" x14ac:dyDescent="0.2">
      <c r="A12" s="167" t="str">
        <f>H8</f>
        <v>DM</v>
      </c>
      <c r="B12" s="189" t="str">
        <f>H8</f>
        <v>DM</v>
      </c>
      <c r="C12" s="190" t="str">
        <f>H8</f>
        <v>DM</v>
      </c>
      <c r="D12" s="170" t="str">
        <f>H8</f>
        <v>DM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2">
      <c r="A13" s="414">
        <v>10.3</v>
      </c>
      <c r="B13" s="415">
        <v>10.3</v>
      </c>
      <c r="C13" s="416">
        <v>190.29900000000001</v>
      </c>
      <c r="D13" s="417">
        <v>190.298</v>
      </c>
      <c r="E13" s="164"/>
      <c r="H13" s="178">
        <f>IF($H$8="gon",A13,IF($H$8="DM",(TRUNC(A13)+MOD(A13,1)*100/60)/0.9,IF($H$8="DMS",(TRUNC(A13)+TRUNC(MOD(A13,1)*100)/60+MOD(A13*100,1)*100/3600)/0.9,0)))</f>
        <v>11.666666666666668</v>
      </c>
      <c r="I13" s="179">
        <f>IF($H$8="gon",B13,IF($H$8="DM",(TRUNC(B13)+MOD(B13,1)*100/60)/0.9,IF($H$8="DMS",(TRUNC(B13)+TRUNC(MOD(B13,1)*100)/60+MOD(B13*100,1)*100/3600)/0.9,0)))</f>
        <v>11.666666666666668</v>
      </c>
      <c r="J13" s="180">
        <f>IF($H$8="gon",C13,IF($H$8="DM",(TRUNC(C13)+MOD(C13,1)*100/60)/0.9,IF($H$8="DMS",(TRUNC(C13)+TRUNC(MOD(C13,1)*100)/60+MOD(C13*100,1)*100/3600)/0.9,0)))</f>
        <v>211.6648148148148</v>
      </c>
      <c r="K13" s="179">
        <f>IF($H$8="gon",D13,IF($H$8="DM",(TRUNC(D13)+MOD(D13,1)*100/60)/0.9,IF($H$8="DMS",(TRUNC(D13)+TRUNC(MOD(D13,1)*100)/60+MOD(D13*100,1)*100/3600)/0.9,0)))</f>
        <v>211.66296296296295</v>
      </c>
    </row>
    <row r="14" spans="1:12" s="11" customFormat="1" x14ac:dyDescent="0.2">
      <c r="A14" s="16"/>
    </row>
    <row r="15" spans="1:12" x14ac:dyDescent="0.2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2" t="s">
        <v>224</v>
      </c>
      <c r="K15" s="573"/>
    </row>
    <row r="16" spans="1:12" x14ac:dyDescent="0.2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2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2">
      <c r="A18" s="19" t="s">
        <v>1</v>
      </c>
      <c r="B18" s="36"/>
      <c r="C18" s="118" t="str">
        <f>H8</f>
        <v>DM</v>
      </c>
      <c r="D18" s="118" t="str">
        <f>H8</f>
        <v>DM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2">
      <c r="A19" s="541" t="s">
        <v>270</v>
      </c>
      <c r="B19" s="123">
        <v>0</v>
      </c>
      <c r="C19" s="450">
        <v>109.095</v>
      </c>
      <c r="D19" s="412">
        <v>270</v>
      </c>
      <c r="E19" s="20">
        <v>-0.1</v>
      </c>
      <c r="F19" s="547">
        <v>9173.375</v>
      </c>
      <c r="G19" s="548">
        <v>-212.61</v>
      </c>
      <c r="H19" s="548">
        <v>56893.463000000003</v>
      </c>
      <c r="I19" s="10" t="s">
        <v>1</v>
      </c>
      <c r="J19" s="181">
        <f>IF($H$8="gon",C19,IF($H$8="DM",(TRUNC(C19)+MOD(C19,1)*100/60)/0.9,IF($H$8="DMS",(TRUNC(C19)+TRUNC(MOD(C19,1)*100)/60+MOD(C19*100,1)*100/3600)/0.9,0)))</f>
        <v>121.28703703703704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2">
      <c r="A20" s="21"/>
      <c r="B20" s="508">
        <v>10</v>
      </c>
      <c r="C20" s="544">
        <f>C19</f>
        <v>109.095</v>
      </c>
      <c r="D20" s="413">
        <v>270</v>
      </c>
      <c r="E20" s="22">
        <v>-0.2</v>
      </c>
      <c r="F20" s="549">
        <v>9173.4169999999995</v>
      </c>
      <c r="G20" s="550">
        <v>-212.447</v>
      </c>
      <c r="H20" s="550">
        <v>56893.504000000001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121.28703703703704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2">
      <c r="A21" s="541" t="s">
        <v>271</v>
      </c>
      <c r="B21" s="123">
        <v>100</v>
      </c>
      <c r="C21" s="450">
        <v>288.21499999999997</v>
      </c>
      <c r="D21" s="412">
        <v>270</v>
      </c>
      <c r="E21" s="20">
        <v>0.8</v>
      </c>
      <c r="F21" s="547">
        <v>9173.5239999999994</v>
      </c>
      <c r="G21" s="548">
        <v>-213.04900000000001</v>
      </c>
      <c r="H21" s="372"/>
      <c r="I21" s="10" t="s">
        <v>1</v>
      </c>
      <c r="J21" s="181">
        <f t="shared" si="0"/>
        <v>320.3981481481481</v>
      </c>
      <c r="K21" s="182">
        <f t="shared" si="1"/>
        <v>300</v>
      </c>
    </row>
    <row r="22" spans="1:11" x14ac:dyDescent="0.2">
      <c r="A22" s="21"/>
      <c r="B22" s="508">
        <v>110</v>
      </c>
      <c r="C22" s="544">
        <f>C21</f>
        <v>288.21499999999997</v>
      </c>
      <c r="D22" s="413">
        <v>270</v>
      </c>
      <c r="E22" s="22">
        <v>0.5</v>
      </c>
      <c r="F22" s="549">
        <v>9173.4310000000005</v>
      </c>
      <c r="G22" s="550">
        <v>-213.309</v>
      </c>
      <c r="H22" s="371"/>
      <c r="I22" s="10" t="s">
        <v>1</v>
      </c>
      <c r="J22" s="183">
        <f t="shared" si="0"/>
        <v>320.3981481481481</v>
      </c>
      <c r="K22" s="184">
        <f t="shared" si="1"/>
        <v>300</v>
      </c>
    </row>
    <row r="23" spans="1:11" s="11" customFormat="1" x14ac:dyDescent="0.2">
      <c r="A23" s="541" t="s">
        <v>272</v>
      </c>
      <c r="B23" s="123">
        <v>150</v>
      </c>
      <c r="C23" s="450">
        <v>288.315</v>
      </c>
      <c r="D23" s="412">
        <v>90</v>
      </c>
      <c r="E23" s="20">
        <v>1.7</v>
      </c>
      <c r="F23" s="551">
        <v>9172.4030000000002</v>
      </c>
      <c r="G23" s="552">
        <v>-214.37299999999999</v>
      </c>
      <c r="H23" s="370"/>
      <c r="I23" s="10" t="s">
        <v>1</v>
      </c>
      <c r="J23" s="181">
        <f t="shared" si="0"/>
        <v>320.58333333333331</v>
      </c>
      <c r="K23" s="182">
        <f t="shared" si="1"/>
        <v>100</v>
      </c>
    </row>
    <row r="24" spans="1:11" x14ac:dyDescent="0.2">
      <c r="A24" s="21"/>
      <c r="B24" s="508">
        <v>200</v>
      </c>
      <c r="C24" s="544">
        <f>C23</f>
        <v>288.315</v>
      </c>
      <c r="D24" s="413">
        <v>90</v>
      </c>
      <c r="E24" s="22">
        <v>1.9</v>
      </c>
      <c r="F24" s="553">
        <v>9172.0740000000005</v>
      </c>
      <c r="G24" s="554">
        <v>-214.602</v>
      </c>
      <c r="H24" s="371"/>
      <c r="I24" s="10" t="s">
        <v>1</v>
      </c>
      <c r="J24" s="183">
        <f t="shared" si="0"/>
        <v>320.58333333333331</v>
      </c>
      <c r="K24" s="184">
        <f t="shared" si="1"/>
        <v>100</v>
      </c>
    </row>
    <row r="25" spans="1:11" s="11" customFormat="1" x14ac:dyDescent="0.2">
      <c r="A25" s="541" t="s">
        <v>273</v>
      </c>
      <c r="B25" s="123">
        <v>240</v>
      </c>
      <c r="C25" s="450">
        <v>109.245</v>
      </c>
      <c r="D25" s="412">
        <v>90</v>
      </c>
      <c r="E25" s="20">
        <v>-0.5</v>
      </c>
      <c r="F25" s="547">
        <v>9171.7150000000001</v>
      </c>
      <c r="G25" s="548">
        <v>-215.202</v>
      </c>
      <c r="H25" s="370"/>
      <c r="I25" s="10" t="s">
        <v>1</v>
      </c>
      <c r="J25" s="181">
        <f t="shared" si="0"/>
        <v>121.56481481481482</v>
      </c>
      <c r="K25" s="182">
        <f t="shared" si="1"/>
        <v>100</v>
      </c>
    </row>
    <row r="26" spans="1:11" x14ac:dyDescent="0.2">
      <c r="A26" s="21"/>
      <c r="B26" s="508">
        <v>250</v>
      </c>
      <c r="C26" s="544">
        <f>C25</f>
        <v>109.245</v>
      </c>
      <c r="D26" s="413">
        <v>90</v>
      </c>
      <c r="E26" s="22">
        <v>-0.7</v>
      </c>
      <c r="F26" s="549">
        <v>9171.7240000000002</v>
      </c>
      <c r="G26" s="550">
        <v>-215.21100000000001</v>
      </c>
      <c r="H26" s="371"/>
      <c r="I26" s="10" t="s">
        <v>1</v>
      </c>
      <c r="J26" s="183">
        <f t="shared" si="0"/>
        <v>121.56481481481482</v>
      </c>
      <c r="K26" s="184">
        <f t="shared" si="1"/>
        <v>100</v>
      </c>
    </row>
    <row r="27" spans="1:11" x14ac:dyDescent="0.2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2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2">
      <c r="A29" s="571" t="s">
        <v>274</v>
      </c>
      <c r="B29" s="570"/>
      <c r="C29" s="571" t="s">
        <v>275</v>
      </c>
      <c r="D29" s="570"/>
      <c r="E29" s="461" t="s">
        <v>191</v>
      </c>
      <c r="F29" s="464" t="s">
        <v>229</v>
      </c>
      <c r="H29" s="569" t="s">
        <v>118</v>
      </c>
      <c r="I29" s="570"/>
      <c r="J29" s="569" t="s">
        <v>114</v>
      </c>
      <c r="K29" s="570"/>
    </row>
    <row r="30" spans="1:11" x14ac:dyDescent="0.2">
      <c r="A30" s="167" t="str">
        <f>H8</f>
        <v>DM</v>
      </c>
      <c r="B30" s="189" t="str">
        <f>H8</f>
        <v>DM</v>
      </c>
      <c r="C30" s="190" t="str">
        <f>H8</f>
        <v>DM</v>
      </c>
      <c r="D30" s="170" t="str">
        <f>H8</f>
        <v>DM</v>
      </c>
      <c r="E30" s="462" t="s">
        <v>230</v>
      </c>
      <c r="F30" s="465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2">
      <c r="A31" s="414">
        <v>10.3</v>
      </c>
      <c r="B31" s="415">
        <v>10.298999999999999</v>
      </c>
      <c r="C31" s="416">
        <v>190.29900000000001</v>
      </c>
      <c r="D31" s="417">
        <v>190.298</v>
      </c>
      <c r="E31" s="463">
        <f>calculations!$H$61</f>
        <v>5.0000000000238742E-4</v>
      </c>
      <c r="F31" s="460">
        <f>ROUND(AVERAGE(J19:J26)-200,2)</f>
        <v>20.96</v>
      </c>
      <c r="H31" s="178">
        <f>IF($H$8="gon",A31,IF($H$8="DM",(TRUNC(A31)+MOD(A31,1)*100/60)/0.9,IF($H$8="DMS",(TRUNC(A31)+TRUNC(MOD(A31,1)*100)/60+MOD(A31*100,1)*100/3600)/0.9,0)))</f>
        <v>11.666666666666668</v>
      </c>
      <c r="I31" s="179">
        <f>IF($H$8="gon",B31,IF($H$8="DM",(TRUNC(B31)+MOD(B31,1)*100/60)/0.9,IF($H$8="DMS",(TRUNC(B31)+TRUNC(MOD(B31,1)*100)/60+MOD(B31*100,1)*100/3600)/0.9,0)))</f>
        <v>11.664814814814815</v>
      </c>
      <c r="J31" s="178">
        <f>IF($H$8="gon",C31,IF($H$8="DM",(TRUNC(C31)+MOD(C31,1)*100/60)/0.9,IF($H$8="DMS",(TRUNC(C31)+TRUNC(MOD(C31,1)*100)/60+MOD(C31*100,1)*100/3600)/0.9,0)))</f>
        <v>211.6648148148148</v>
      </c>
      <c r="K31" s="179">
        <f>IF($H$8="gon",D31,IF($H$8="DM",(TRUNC(D31)+MOD(D31,1)*100/60)/0.9,IF($H$8="DMS",(TRUNC(D31)+TRUNC(MOD(D31,1)*100)/60+MOD(D31*100,1)*100/3600)/0.9,0)))</f>
        <v>211.66296296296295</v>
      </c>
    </row>
    <row r="32" spans="1:11" x14ac:dyDescent="0.2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2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2" t="s">
        <v>224</v>
      </c>
      <c r="K33" s="573"/>
    </row>
    <row r="34" spans="1:11" x14ac:dyDescent="0.2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2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2">
      <c r="A36" s="19" t="s">
        <v>1</v>
      </c>
      <c r="B36" s="36"/>
      <c r="C36" s="118" t="str">
        <f>H8</f>
        <v>DM</v>
      </c>
      <c r="D36" s="118" t="str">
        <f>H8</f>
        <v>DM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2">
      <c r="A37" s="541" t="s">
        <v>281</v>
      </c>
      <c r="B37" s="123">
        <v>620</v>
      </c>
      <c r="C37" s="411">
        <v>198.518</v>
      </c>
      <c r="D37" s="450">
        <v>260.52499999999998</v>
      </c>
      <c r="E37" s="20">
        <v>-7.3</v>
      </c>
      <c r="F37" s="529">
        <f t="shared" ref="F37:H41" si="2">C50</f>
        <v>9176.6849999999995</v>
      </c>
      <c r="G37" s="530">
        <f t="shared" si="2"/>
        <v>-218.94</v>
      </c>
      <c r="H37" s="531">
        <f t="shared" si="2"/>
        <v>56891.858</v>
      </c>
      <c r="I37" s="276"/>
      <c r="J37" s="185">
        <f>IF($H$8="gon",C37,IF($H$8="DM",(TRUNC(C37)+MOD(C37,1)*100/60)/0.9,IF($H$8="DMS",(TRUNC(C37)+TRUNC(MOD(C37,1)*100)/60+MOD(C37*100,1)*100/3600)/0.9,0)))</f>
        <v>220.95925925925926</v>
      </c>
      <c r="K37" s="185">
        <f t="shared" ref="K37:K42" si="3">IF($H$8="gon",D37,IF($H$8="DM",(TRUNC(D37)+MOD(D37,1)*100/60)/0.9,IF($H$8="DMS",(TRUNC(D37)+TRUNC(MOD(D37,1)*100)/60+MOD(D37*100,1)*100/3600)/0.9,0)))</f>
        <v>289.86111111111103</v>
      </c>
    </row>
    <row r="38" spans="1:11" s="11" customFormat="1" x14ac:dyDescent="0.2">
      <c r="A38" s="21"/>
      <c r="B38" s="508">
        <v>630</v>
      </c>
      <c r="C38" s="418"/>
      <c r="D38" s="544">
        <f>D37</f>
        <v>260.52499999999998</v>
      </c>
      <c r="E38" s="22">
        <v>-7.1</v>
      </c>
      <c r="F38" s="532">
        <f t="shared" si="2"/>
        <v>9176.6299999999992</v>
      </c>
      <c r="G38" s="533">
        <f t="shared" si="2"/>
        <v>-218.91399999999999</v>
      </c>
      <c r="H38" s="534">
        <f t="shared" si="2"/>
        <v>56891.93</v>
      </c>
      <c r="I38" s="276"/>
      <c r="J38" s="186"/>
      <c r="K38" s="187">
        <f t="shared" si="3"/>
        <v>289.86111111111103</v>
      </c>
    </row>
    <row r="39" spans="1:11" s="11" customFormat="1" x14ac:dyDescent="0.2">
      <c r="A39" s="541" t="s">
        <v>282</v>
      </c>
      <c r="B39" s="123">
        <v>720</v>
      </c>
      <c r="C39" s="412">
        <f>C37</f>
        <v>198.518</v>
      </c>
      <c r="D39" s="450">
        <v>80.515000000000001</v>
      </c>
      <c r="E39" s="20">
        <v>-0.3</v>
      </c>
      <c r="F39" s="529">
        <f t="shared" si="2"/>
        <v>9176.2119999999995</v>
      </c>
      <c r="G39" s="530">
        <f t="shared" si="2"/>
        <v>-219.14500000000001</v>
      </c>
      <c r="H39" s="531">
        <f t="shared" si="2"/>
        <v>56892.078000000001</v>
      </c>
      <c r="I39" s="276"/>
      <c r="J39" s="185">
        <f>IF($H$8="gon",C39,IF($H$8="DM",(TRUNC(C39)+MOD(C39,1)*100/60)/0.9,IF($H$8="DMS",(TRUNC(C39)+TRUNC(MOD(C39,1)*100)/60+MOD(C39*100,1)*100/3600)/0.9,0)))</f>
        <v>220.95925925925926</v>
      </c>
      <c r="K39" s="185">
        <f t="shared" si="3"/>
        <v>89.842592592592595</v>
      </c>
    </row>
    <row r="40" spans="1:11" s="11" customFormat="1" x14ac:dyDescent="0.2">
      <c r="A40" s="21"/>
      <c r="B40" s="508">
        <v>730</v>
      </c>
      <c r="C40" s="418"/>
      <c r="D40" s="544">
        <f>D39</f>
        <v>80.515000000000001</v>
      </c>
      <c r="E40" s="22">
        <v>-0.2</v>
      </c>
      <c r="F40" s="535">
        <f t="shared" si="2"/>
        <v>9176.2430000000004</v>
      </c>
      <c r="G40" s="536">
        <f t="shared" si="2"/>
        <v>-219.20699999999999</v>
      </c>
      <c r="H40" s="537">
        <f t="shared" si="2"/>
        <v>56892.120999999999</v>
      </c>
      <c r="I40" s="276"/>
      <c r="J40" s="186"/>
      <c r="K40" s="187">
        <f t="shared" si="3"/>
        <v>89.842592592592595</v>
      </c>
    </row>
    <row r="41" spans="1:11" s="11" customFormat="1" x14ac:dyDescent="0.2">
      <c r="A41" s="541" t="s">
        <v>283</v>
      </c>
      <c r="B41" s="123">
        <v>920</v>
      </c>
      <c r="C41" s="412">
        <f>C37-180</f>
        <v>18.518000000000001</v>
      </c>
      <c r="D41" s="450">
        <v>99.004999999999995</v>
      </c>
      <c r="E41" s="20">
        <v>9.6</v>
      </c>
      <c r="F41" s="538">
        <f t="shared" si="2"/>
        <v>9173.3469999999998</v>
      </c>
      <c r="G41" s="539">
        <f t="shared" si="2"/>
        <v>-216.488</v>
      </c>
      <c r="H41" s="540">
        <f t="shared" si="2"/>
        <v>56892.883999999998</v>
      </c>
      <c r="I41" s="276"/>
      <c r="J41" s="185">
        <f>IF($H$8="gon",C41,IF($H$8="DM",(TRUNC(C41)+MOD(C41,1)*100/60)/0.9,IF($H$8="DMS",(TRUNC(C41)+TRUNC(MOD(C41,1)*100)/60+MOD(C41*100,1)*100/3600)/0.9,0)))</f>
        <v>20.959259259259259</v>
      </c>
      <c r="K41" s="185">
        <f t="shared" si="3"/>
        <v>110.00925925925925</v>
      </c>
    </row>
    <row r="42" spans="1:11" s="11" customFormat="1" x14ac:dyDescent="0.2">
      <c r="A42" s="21"/>
      <c r="B42" s="508">
        <v>930</v>
      </c>
      <c r="C42" s="418"/>
      <c r="D42" s="544">
        <f>D41</f>
        <v>99.004999999999995</v>
      </c>
      <c r="E42" s="22">
        <v>9.9</v>
      </c>
      <c r="F42" s="532">
        <f t="shared" ref="F42:H45" si="4">C55</f>
        <v>9173.1020000000008</v>
      </c>
      <c r="G42" s="533">
        <f t="shared" si="4"/>
        <v>-216.244</v>
      </c>
      <c r="H42" s="534">
        <f t="shared" si="4"/>
        <v>56892.928</v>
      </c>
      <c r="I42" s="276"/>
      <c r="J42" s="186"/>
      <c r="K42" s="187">
        <f t="shared" si="3"/>
        <v>110.00925925925925</v>
      </c>
    </row>
    <row r="43" spans="1:11" s="11" customFormat="1" x14ac:dyDescent="0.2">
      <c r="A43" s="541" t="s">
        <v>284</v>
      </c>
      <c r="B43" s="123">
        <v>1020</v>
      </c>
      <c r="C43" s="419">
        <f>C41</f>
        <v>18.518000000000001</v>
      </c>
      <c r="D43" s="545">
        <v>278.59500000000003</v>
      </c>
      <c r="E43" s="20">
        <v>7.5</v>
      </c>
      <c r="F43" s="529">
        <f t="shared" si="4"/>
        <v>9172.09</v>
      </c>
      <c r="G43" s="530">
        <f t="shared" si="4"/>
        <v>-215.261</v>
      </c>
      <c r="H43" s="531">
        <f t="shared" si="4"/>
        <v>56893.116999999998</v>
      </c>
      <c r="I43" s="276"/>
      <c r="J43" s="185">
        <f>IF($H$8="gon",C43,IF($H$8="DM",(TRUNC(C43)+MOD(C43,1)*100/60)/0.9,IF($H$8="DMS",(TRUNC(C43)+TRUNC(MOD(C43,1)*100)/60+MOD(C43*100,1)*100/3600)/0.9,0)))</f>
        <v>20.959259259259259</v>
      </c>
      <c r="K43" s="185">
        <f>IF($H$8="gon",D43,IF($H$8="DM",(TRUNC(D43)+MOD(D43,1)*100/60)/0.9,IF($H$8="DMS",(TRUNC(D43)+TRUNC(MOD(D43,1)*100)/60+MOD(D43*100,1)*100/3600)/0.9,0)))</f>
        <v>309.99074074074082</v>
      </c>
    </row>
    <row r="44" spans="1:11" s="11" customFormat="1" x14ac:dyDescent="0.2">
      <c r="A44" s="158"/>
      <c r="B44" s="508">
        <v>1030</v>
      </c>
      <c r="C44" s="418"/>
      <c r="D44" s="542">
        <f>D43</f>
        <v>278.59500000000003</v>
      </c>
      <c r="E44" s="22">
        <v>7.5</v>
      </c>
      <c r="F44" s="535">
        <f t="shared" si="4"/>
        <v>9172.0779999999995</v>
      </c>
      <c r="G44" s="536">
        <f t="shared" si="4"/>
        <v>-215.02099999999999</v>
      </c>
      <c r="H44" s="537">
        <f t="shared" si="4"/>
        <v>56893.216</v>
      </c>
      <c r="I44" s="276"/>
      <c r="J44" s="186"/>
      <c r="K44" s="187">
        <f>IF($H$8="gon",D44,IF($H$8="DM",(TRUNC(D44)+MOD(D44,1)*100/60)/0.9,IF($H$8="DMS",(TRUNC(D44)+TRUNC(MOD(D44,1)*100)/60+MOD(D44*100,1)*100/3600)/0.9,0)))</f>
        <v>309.99074074074082</v>
      </c>
    </row>
    <row r="45" spans="1:11" s="11" customFormat="1" x14ac:dyDescent="0.2">
      <c r="A45" s="21"/>
      <c r="B45" s="508">
        <v>1110</v>
      </c>
      <c r="C45" s="418"/>
      <c r="D45" s="180">
        <f>D44+0.1</f>
        <v>278.69500000000005</v>
      </c>
      <c r="E45" s="22">
        <v>-159.4</v>
      </c>
      <c r="F45" s="535">
        <f t="shared" si="4"/>
        <v>9173.4539999999997</v>
      </c>
      <c r="G45" s="536">
        <f t="shared" si="4"/>
        <v>-215.54300000000001</v>
      </c>
      <c r="H45" s="537">
        <f t="shared" si="4"/>
        <v>56893.248</v>
      </c>
      <c r="I45" s="276"/>
      <c r="J45" s="186"/>
      <c r="K45" s="187">
        <f>IF($H$8="gon",D45,IF($H$8="DM",(TRUNC(D45)+MOD(D45,1)*100/60)/0.9,IF($H$8="DMS",(TRUNC(D45)+TRUNC(MOD(D45,1)*100)/60+MOD(D45*100,1)*100/3600)/0.9,0)))</f>
        <v>310.17592592592604</v>
      </c>
    </row>
    <row r="46" spans="1:11" x14ac:dyDescent="0.2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2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2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2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2">
      <c r="A50" s="555">
        <f t="shared" ref="A50:A58" si="5">B37</f>
        <v>620</v>
      </c>
      <c r="B50" s="548">
        <v>57474.61</v>
      </c>
      <c r="C50" s="556">
        <v>9176.6849999999995</v>
      </c>
      <c r="D50" s="556">
        <v>-218.94</v>
      </c>
      <c r="E50" s="548">
        <v>56891.858</v>
      </c>
      <c r="F50" s="7" t="s">
        <v>21</v>
      </c>
      <c r="G50" s="2"/>
      <c r="H50" s="122">
        <f>B19</f>
        <v>0</v>
      </c>
      <c r="I50" s="367"/>
      <c r="J50" s="365"/>
      <c r="K50" s="364"/>
    </row>
    <row r="51" spans="1:11" s="11" customFormat="1" x14ac:dyDescent="0.2">
      <c r="A51" s="557">
        <f t="shared" si="5"/>
        <v>630</v>
      </c>
      <c r="B51" s="552">
        <v>57474.65</v>
      </c>
      <c r="C51" s="558">
        <v>9176.6299999999992</v>
      </c>
      <c r="D51" s="558">
        <v>-218.91399999999999</v>
      </c>
      <c r="E51" s="552">
        <v>56891.93</v>
      </c>
      <c r="F51" s="7" t="s">
        <v>21</v>
      </c>
      <c r="G51" s="2"/>
      <c r="H51" s="509">
        <f>B20</f>
        <v>10</v>
      </c>
      <c r="I51" s="368"/>
      <c r="J51" s="366"/>
      <c r="K51" s="358"/>
    </row>
    <row r="52" spans="1:11" s="11" customFormat="1" x14ac:dyDescent="0.2">
      <c r="A52" s="557">
        <f t="shared" si="5"/>
        <v>720</v>
      </c>
      <c r="B52" s="552">
        <v>57474.7</v>
      </c>
      <c r="C52" s="558">
        <v>9176.2119999999995</v>
      </c>
      <c r="D52" s="558">
        <v>-219.14500000000001</v>
      </c>
      <c r="E52" s="552">
        <v>56892.078000000001</v>
      </c>
      <c r="F52" s="7"/>
      <c r="G52" s="2"/>
      <c r="H52" s="515"/>
      <c r="I52" s="516"/>
      <c r="J52" s="516"/>
      <c r="K52" s="516"/>
    </row>
    <row r="53" spans="1:11" s="11" customFormat="1" x14ac:dyDescent="0.2">
      <c r="A53" s="557">
        <f t="shared" si="5"/>
        <v>730</v>
      </c>
      <c r="B53" s="552">
        <v>57474.79</v>
      </c>
      <c r="C53" s="558">
        <v>9176.2430000000004</v>
      </c>
      <c r="D53" s="558">
        <v>-219.20699999999999</v>
      </c>
      <c r="E53" s="552">
        <v>56892.120999999999</v>
      </c>
      <c r="F53" s="7"/>
      <c r="G53" s="2"/>
      <c r="H53" s="515"/>
      <c r="I53" s="516"/>
      <c r="J53" s="516"/>
      <c r="K53" s="516"/>
    </row>
    <row r="54" spans="1:11" s="11" customFormat="1" x14ac:dyDescent="0.2">
      <c r="A54" s="559">
        <f t="shared" si="5"/>
        <v>920</v>
      </c>
      <c r="B54" s="554">
        <v>57475.040000000001</v>
      </c>
      <c r="C54" s="560">
        <v>9173.3469999999998</v>
      </c>
      <c r="D54" s="560">
        <v>-216.488</v>
      </c>
      <c r="E54" s="554">
        <v>56892.883999999998</v>
      </c>
      <c r="F54" s="7"/>
      <c r="G54" s="2"/>
      <c r="H54" s="515"/>
      <c r="I54" s="516"/>
      <c r="J54" s="516"/>
      <c r="K54" s="516"/>
    </row>
    <row r="55" spans="1:11" s="11" customFormat="1" x14ac:dyDescent="0.2">
      <c r="A55" s="561">
        <f t="shared" si="5"/>
        <v>930</v>
      </c>
      <c r="B55" s="562">
        <v>57475.05</v>
      </c>
      <c r="C55" s="563">
        <v>9173.1020000000008</v>
      </c>
      <c r="D55" s="563">
        <v>-216.244</v>
      </c>
      <c r="E55" s="562">
        <v>56892.928</v>
      </c>
      <c r="F55" s="7"/>
      <c r="G55" s="2"/>
      <c r="H55" s="515"/>
      <c r="I55" s="516"/>
      <c r="J55" s="516"/>
      <c r="K55" s="516"/>
    </row>
    <row r="56" spans="1:11" x14ac:dyDescent="0.2">
      <c r="A56" s="557">
        <f t="shared" si="5"/>
        <v>1020</v>
      </c>
      <c r="B56" s="552">
        <v>57475.06</v>
      </c>
      <c r="C56" s="558">
        <v>9172.09</v>
      </c>
      <c r="D56" s="558">
        <v>-215.261</v>
      </c>
      <c r="E56" s="552">
        <v>56893.116999999998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2">
      <c r="A57" s="557">
        <f t="shared" si="5"/>
        <v>1030</v>
      </c>
      <c r="B57" s="552">
        <v>57475.16</v>
      </c>
      <c r="C57" s="558">
        <v>9172.0779999999995</v>
      </c>
      <c r="D57" s="558">
        <v>-215.02099999999999</v>
      </c>
      <c r="E57" s="552">
        <v>56893.216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2">
      <c r="A58" s="564">
        <f t="shared" si="5"/>
        <v>1110</v>
      </c>
      <c r="B58" s="550">
        <v>57475.46</v>
      </c>
      <c r="C58" s="565">
        <v>9173.4539999999997</v>
      </c>
      <c r="D58" s="565">
        <v>-215.54300000000001</v>
      </c>
      <c r="E58" s="550">
        <v>56893.248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2">
      <c r="A59" s="120" t="s">
        <v>127</v>
      </c>
      <c r="B59" s="31">
        <f>AVERAGE(B50:B58)</f>
        <v>57474.946666666678</v>
      </c>
      <c r="C59" s="359">
        <f>AVERAGE(C50:C58)</f>
        <v>9174.4267777777768</v>
      </c>
      <c r="D59" s="363">
        <f>AVERAGE(D50:D58)</f>
        <v>-217.19588888888887</v>
      </c>
      <c r="E59" s="353">
        <f>AVERAGE(E50:E58)</f>
        <v>56892.597777777788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2">
      <c r="A60" s="567" t="s">
        <v>128</v>
      </c>
      <c r="B60" s="568"/>
      <c r="C60" s="354">
        <f>C59*calculations!B24</f>
        <v>9174.4267777777768</v>
      </c>
      <c r="D60" s="355">
        <f>D59*calculations!B25</f>
        <v>-217.19588888888887</v>
      </c>
      <c r="E60" s="360">
        <f>E59*calculations!B26</f>
        <v>56892.597777777788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2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17.100000000000001</v>
      </c>
      <c r="K61" s="2"/>
    </row>
    <row r="62" spans="1:11" x14ac:dyDescent="0.2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2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2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2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">
      <c r="C67" s="2"/>
      <c r="D67" s="2"/>
      <c r="E67" s="2"/>
      <c r="F67" s="2"/>
      <c r="I67" s="2"/>
      <c r="J67" s="2"/>
      <c r="K67" s="2"/>
    </row>
  </sheetData>
  <mergeCells count="11">
    <mergeCell ref="A11:B11"/>
    <mergeCell ref="C11:D11"/>
    <mergeCell ref="J33:K33"/>
    <mergeCell ref="H11:I11"/>
    <mergeCell ref="J11:K11"/>
    <mergeCell ref="J29:K29"/>
    <mergeCell ref="A60:B60"/>
    <mergeCell ref="H29:I29"/>
    <mergeCell ref="A29:B29"/>
    <mergeCell ref="C29:D29"/>
    <mergeCell ref="J15:K15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47625</xdr:colOff>
                    <xdr:row>4</xdr:row>
                    <xdr:rowOff>133350</xdr:rowOff>
                  </from>
                  <to>
                    <xdr:col>14</xdr:col>
                    <xdr:colOff>333375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1"/>
  <sheetViews>
    <sheetView showGridLines="0" zoomScale="130" workbookViewId="0">
      <selection activeCell="J61" sqref="J61:K61"/>
    </sheetView>
  </sheetViews>
  <sheetFormatPr defaultColWidth="8.5703125" defaultRowHeight="12.75" x14ac:dyDescent="0.2"/>
  <cols>
    <col min="1" max="1" width="8.28515625" style="86" customWidth="1"/>
    <col min="2" max="2" width="8.5703125" style="86" customWidth="1"/>
    <col min="3" max="3" width="9.85546875" style="86" customWidth="1"/>
    <col min="4" max="4" width="8.5703125" style="86" customWidth="1"/>
    <col min="5" max="5" width="9.85546875" style="86" customWidth="1"/>
    <col min="6" max="6" width="9.28515625" style="86" customWidth="1"/>
    <col min="7" max="7" width="10.85546875" style="86" customWidth="1"/>
    <col min="8" max="8" width="9" style="86" customWidth="1"/>
    <col min="9" max="9" width="8.85546875" style="86" customWidth="1"/>
    <col min="10" max="10" width="8.42578125" style="86" customWidth="1"/>
    <col min="11" max="11" width="9.42578125" style="86" customWidth="1"/>
    <col min="12" max="16384" width="8.5703125" style="86"/>
  </cols>
  <sheetData>
    <row r="1" spans="1:11" s="11" customFormat="1" ht="20.25" x14ac:dyDescent="0.3">
      <c r="A1" s="576" t="s">
        <v>140</v>
      </c>
      <c r="B1" s="576"/>
      <c r="C1" s="576"/>
      <c r="D1" s="576"/>
      <c r="E1" s="576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2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2">
      <c r="A3" s="83"/>
      <c r="B3" s="84"/>
      <c r="C3" s="85"/>
      <c r="D3" s="12"/>
      <c r="E3" s="12"/>
      <c r="F3" s="12"/>
      <c r="G3" s="82" t="str">
        <f>constants!A13</f>
        <v>BOU</v>
      </c>
      <c r="H3" s="332">
        <f>measurement!B8</f>
        <v>2013</v>
      </c>
      <c r="I3" s="333">
        <f>measurement!C8</f>
        <v>1231</v>
      </c>
      <c r="J3" s="334">
        <f>measurement!D8</f>
        <v>0</v>
      </c>
      <c r="K3" s="335" t="str">
        <f>measurement!E8</f>
        <v>KR</v>
      </c>
    </row>
    <row r="4" spans="1:11" s="3" customFormat="1" x14ac:dyDescent="0.2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2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6" t="s">
        <v>241</v>
      </c>
      <c r="J5" s="142"/>
      <c r="K5" s="40"/>
    </row>
    <row r="6" spans="1:11" x14ac:dyDescent="0.2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2">
      <c r="A7" s="48" t="s">
        <v>146</v>
      </c>
      <c r="B7" s="124">
        <f>IF(measurement!F8=0,NA(),AVERAGE(measurement!H13:'measurement'!I13))</f>
        <v>11.666666666666668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2">
      <c r="A8" s="99" t="s">
        <v>145</v>
      </c>
      <c r="B8" s="126">
        <f>IF(measurement!F8=0,NA(),AVERAGE(measurement!J13:'measurement'!K13))</f>
        <v>211.66388888888889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2">
      <c r="A9" s="48" t="s">
        <v>277</v>
      </c>
      <c r="B9" s="124">
        <f>AVERAGE(measurement!J19:'measurement'!J20)</f>
        <v>121.28703703703704</v>
      </c>
      <c r="C9" s="124">
        <v>100</v>
      </c>
      <c r="D9" s="269">
        <f>AVERAGE(measurement!E19:'measurement'!E20)*C28</f>
        <v>-0.15000000000000002</v>
      </c>
      <c r="E9" s="110"/>
      <c r="F9" s="271">
        <f>AVERAGE(measurement!F19:'measurement'!F20)*B24</f>
        <v>9173.3960000000006</v>
      </c>
      <c r="G9" s="271">
        <f>AVERAGE(measurement!G19:'measurement'!G20)*B25</f>
        <v>-212.52850000000001</v>
      </c>
      <c r="H9" s="269">
        <f>AVERAGE(measurement!H19:'measurement'!H20)*B26</f>
        <v>56893.483500000002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2">
      <c r="A10" s="48" t="s">
        <v>278</v>
      </c>
      <c r="B10" s="124">
        <f>AVERAGE(measurement!J21:'measurement'!J22)</f>
        <v>320.3981481481481</v>
      </c>
      <c r="C10" s="124">
        <v>100</v>
      </c>
      <c r="D10" s="269">
        <f>AVERAGE(measurement!E21:'measurement'!E22)*C28</f>
        <v>0.65</v>
      </c>
      <c r="E10" s="110"/>
      <c r="F10" s="271">
        <f>AVERAGE(measurement!F21:'measurement'!F22)*B24</f>
        <v>9173.4775000000009</v>
      </c>
      <c r="G10" s="271">
        <f>AVERAGE(measurement!G21:'measurement'!G22)*B25</f>
        <v>-213.179</v>
      </c>
      <c r="H10" s="112"/>
      <c r="I10" s="134"/>
      <c r="J10" s="134"/>
      <c r="K10" s="113"/>
    </row>
    <row r="11" spans="1:11" s="3" customFormat="1" x14ac:dyDescent="0.2">
      <c r="A11" s="48" t="s">
        <v>279</v>
      </c>
      <c r="B11" s="124">
        <f>AVERAGE(measurement!J23:'measurement'!J24)</f>
        <v>320.58333333333331</v>
      </c>
      <c r="C11" s="124">
        <v>300</v>
      </c>
      <c r="D11" s="269">
        <f>AVERAGE(measurement!E23:'measurement'!E24)*C28</f>
        <v>1.7999999999999998</v>
      </c>
      <c r="E11" s="110"/>
      <c r="F11" s="271">
        <f>AVERAGE(measurement!F23:'measurement'!F24)*B24</f>
        <v>9172.2384999999995</v>
      </c>
      <c r="G11" s="271">
        <f>AVERAGE(measurement!G23:'measurement'!G24)*B25</f>
        <v>-214.48750000000001</v>
      </c>
      <c r="H11" s="114"/>
      <c r="I11" s="131"/>
      <c r="J11" s="131"/>
      <c r="K11" s="110"/>
    </row>
    <row r="12" spans="1:11" s="3" customFormat="1" x14ac:dyDescent="0.2">
      <c r="A12" s="99" t="s">
        <v>280</v>
      </c>
      <c r="B12" s="126">
        <f>AVERAGE(measurement!J25:'measurement'!J26)</f>
        <v>121.56481481481482</v>
      </c>
      <c r="C12" s="126">
        <v>300</v>
      </c>
      <c r="D12" s="270">
        <f>AVERAGE(measurement!E25:'measurement'!E26)*C28</f>
        <v>-0.6</v>
      </c>
      <c r="E12" s="111"/>
      <c r="F12" s="272">
        <f>AVERAGE(measurement!F25:'measurement'!F26)*B24</f>
        <v>9171.7194999999992</v>
      </c>
      <c r="G12" s="272">
        <f>AVERAGE(measurement!G25:'measurement'!G26)*B25</f>
        <v>-215.20650000000001</v>
      </c>
      <c r="H12" s="115"/>
      <c r="I12" s="132"/>
      <c r="J12" s="132"/>
      <c r="K12" s="111"/>
    </row>
    <row r="13" spans="1:11" s="3" customFormat="1" x14ac:dyDescent="0.2">
      <c r="A13" s="48" t="s">
        <v>146</v>
      </c>
      <c r="B13" s="124">
        <f>IF(measurement!F8=0,NA(),AVERAGE(measurement!H31:'measurement'!I31))</f>
        <v>11.665740740740741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2">
      <c r="A14" s="47" t="s">
        <v>145</v>
      </c>
      <c r="B14" s="128">
        <f>IF(measurement!F8=0,NA(),AVERAGE(measurement!J31:'measurement'!K31))</f>
        <v>211.66388888888889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2">
      <c r="A15" s="48" t="s">
        <v>285</v>
      </c>
      <c r="B15" s="124">
        <f>measurement!J37</f>
        <v>220.95925925925926</v>
      </c>
      <c r="C15" s="124">
        <f>AVERAGE(measurement!K37:'measurement'!K38)</f>
        <v>289.86111111111103</v>
      </c>
      <c r="D15" s="269">
        <f>AVERAGE(measurement!E37:'measurement'!E38)*C28</f>
        <v>-7.1999999999999993</v>
      </c>
      <c r="E15" s="269">
        <f ca="1">measurement!B59+(F15-measurement!C60)*COS(B37*PI()/200)+(H15-measurement!E60)*SIN(B37*PI()/200)+(G15^2-(measurement!D60)^2)/(2*measurement!B59)</f>
        <v>57474.609822524078</v>
      </c>
      <c r="F15" s="271">
        <f>AVERAGE(measurement!F37:'measurement'!F38)*B24</f>
        <v>9176.6574999999993</v>
      </c>
      <c r="G15" s="271">
        <f>AVERAGE(measurement!G37:'measurement'!G38)*B25</f>
        <v>-218.92699999999999</v>
      </c>
      <c r="H15" s="269">
        <f>AVERAGE(measurement!H37:'measurement'!H38)*B26</f>
        <v>56891.894</v>
      </c>
      <c r="I15" s="131"/>
      <c r="J15" s="131"/>
      <c r="K15" s="110"/>
    </row>
    <row r="16" spans="1:11" s="3" customFormat="1" x14ac:dyDescent="0.2">
      <c r="A16" s="48" t="s">
        <v>286</v>
      </c>
      <c r="B16" s="124">
        <f>measurement!J39</f>
        <v>220.95925925925926</v>
      </c>
      <c r="C16" s="124">
        <f>AVERAGE(measurement!K39:'measurement'!K40)</f>
        <v>89.842592592592595</v>
      </c>
      <c r="D16" s="269">
        <f>AVERAGE(measurement!E39:'measurement'!E40)*C28</f>
        <v>-0.25</v>
      </c>
      <c r="E16" s="269">
        <f ca="1">measurement!B59+(F16-measurement!C60)*COS(B37*PI()/200)+(H16-measurement!E60)*SIN(B37*PI()/200)+(G16^2-(measurement!D60)^2)/(2*measurement!B59)</f>
        <v>57474.745933652084</v>
      </c>
      <c r="F16" s="271">
        <f>AVERAGE(measurement!F39:'measurement'!F40)*B24</f>
        <v>9176.2275000000009</v>
      </c>
      <c r="G16" s="271">
        <f>AVERAGE(measurement!G39:'measurement'!G40)*B25</f>
        <v>-219.17599999999999</v>
      </c>
      <c r="H16" s="269">
        <f>AVERAGE(measurement!H39:'measurement'!H40)*B26</f>
        <v>56892.099499999997</v>
      </c>
      <c r="I16" s="131"/>
      <c r="J16" s="131"/>
      <c r="K16" s="110"/>
    </row>
    <row r="17" spans="1:11" s="3" customFormat="1" x14ac:dyDescent="0.2">
      <c r="A17" s="48" t="s">
        <v>287</v>
      </c>
      <c r="B17" s="124">
        <f>measurement!J41</f>
        <v>20.959259259259259</v>
      </c>
      <c r="C17" s="124">
        <f>AVERAGE(measurement!K41:'measurement'!K42)</f>
        <v>110.00925925925925</v>
      </c>
      <c r="D17" s="269">
        <f>AVERAGE(measurement!E41:'measurement'!E42)*C28</f>
        <v>9.75</v>
      </c>
      <c r="E17" s="269">
        <f ca="1">measurement!B59+(F17-measurement!C60)*COS(B37*PI()/200)+(H17-measurement!E60)*SIN(B37*PI()/200)+(G17^2-(measurement!D60)^2)/(2*measurement!B59)</f>
        <v>57475.058423213319</v>
      </c>
      <c r="F17" s="271">
        <f>AVERAGE(measurement!F41:'measurement'!F42)*B24</f>
        <v>9173.2245000000003</v>
      </c>
      <c r="G17" s="271">
        <f>AVERAGE(measurement!G41:'measurement'!G42)*B25</f>
        <v>-216.36599999999999</v>
      </c>
      <c r="H17" s="269">
        <f>AVERAGE(measurement!H41:'measurement'!H42)*B26</f>
        <v>56892.906000000003</v>
      </c>
      <c r="I17" s="131"/>
      <c r="J17" s="131"/>
      <c r="K17" s="110"/>
    </row>
    <row r="18" spans="1:11" s="3" customFormat="1" x14ac:dyDescent="0.2">
      <c r="A18" s="48" t="s">
        <v>288</v>
      </c>
      <c r="B18" s="124">
        <f>measurement!J43</f>
        <v>20.959259259259259</v>
      </c>
      <c r="C18" s="124">
        <f>AVERAGE(measurement!K43:'measurement'!K44)</f>
        <v>309.99074074074082</v>
      </c>
      <c r="D18" s="269">
        <f>AVERAGE(measurement!E43:'measurement'!E44)*C28</f>
        <v>7.5</v>
      </c>
      <c r="E18" s="278">
        <f ca="1">measurement!B59+(F18-measurement!C60)*COS(B37*PI()/200)+(H18-measurement!E60)*SIN(B37*PI()/200)+(G18^2-(measurement!D60)^2)/(2*measurement!B59)</f>
        <v>57475.131322000037</v>
      </c>
      <c r="F18" s="271">
        <f>AVERAGE(measurement!F43:'measurement'!F44)*B24</f>
        <v>9172.0839999999989</v>
      </c>
      <c r="G18" s="271">
        <f>AVERAGE(measurement!G43:'measurement'!G44)*B25</f>
        <v>-215.14099999999999</v>
      </c>
      <c r="H18" s="269">
        <f>AVERAGE(measurement!H43:'measurement'!H44)*B26</f>
        <v>56893.166499999999</v>
      </c>
      <c r="I18" s="131"/>
      <c r="J18" s="131"/>
      <c r="K18" s="110"/>
    </row>
    <row r="19" spans="1:11" s="3" customFormat="1" x14ac:dyDescent="0.2">
      <c r="A19" s="199" t="s">
        <v>147</v>
      </c>
      <c r="B19" s="285">
        <f>measurement!C43</f>
        <v>18.518000000000001</v>
      </c>
      <c r="C19" s="285">
        <f>measurement!D44</f>
        <v>278.59500000000003</v>
      </c>
      <c r="D19" s="286">
        <f>measurement!E44*C28</f>
        <v>7.5</v>
      </c>
      <c r="E19" s="291"/>
      <c r="F19" s="286">
        <f>measurement!F44*B24</f>
        <v>9172.0779999999995</v>
      </c>
      <c r="G19" s="289">
        <f>measurement!G44*B25</f>
        <v>-215.02099999999999</v>
      </c>
      <c r="H19" s="290">
        <f>measurement!H44*B26</f>
        <v>56893.216</v>
      </c>
      <c r="I19" s="287"/>
      <c r="J19" s="287"/>
      <c r="K19" s="288"/>
    </row>
    <row r="20" spans="1:11" s="3" customFormat="1" x14ac:dyDescent="0.2">
      <c r="A20" s="47" t="s">
        <v>148</v>
      </c>
      <c r="B20" s="279">
        <f>measurement!J43</f>
        <v>20.959259259259259</v>
      </c>
      <c r="C20" s="280">
        <f>measurement!K45</f>
        <v>310.17592592592604</v>
      </c>
      <c r="D20" s="281">
        <f>measurement!E45*C28</f>
        <v>-159.4</v>
      </c>
      <c r="E20" s="282"/>
      <c r="F20" s="281">
        <f>measurement!F45*B24</f>
        <v>9173.4539999999997</v>
      </c>
      <c r="G20" s="283">
        <f>measurement!G45*B25</f>
        <v>-215.54300000000001</v>
      </c>
      <c r="H20" s="281">
        <f>measurement!H45*B26</f>
        <v>56893.248</v>
      </c>
      <c r="I20" s="284"/>
      <c r="J20" s="129"/>
      <c r="K20" s="116"/>
    </row>
    <row r="21" spans="1:11" s="3" customFormat="1" x14ac:dyDescent="0.2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2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2">
      <c r="A23" s="577" t="s">
        <v>242</v>
      </c>
      <c r="B23" s="578"/>
      <c r="C23" s="578"/>
      <c r="D23" s="579"/>
      <c r="E23" s="581" t="s">
        <v>155</v>
      </c>
      <c r="F23" s="582"/>
      <c r="G23" s="312">
        <f>measurement!F8</f>
        <v>1</v>
      </c>
      <c r="H23" s="311" t="s">
        <v>83</v>
      </c>
      <c r="I23" s="313">
        <f>measurement!I8</f>
        <v>1</v>
      </c>
      <c r="J23" s="577" t="s">
        <v>156</v>
      </c>
      <c r="K23" s="579"/>
    </row>
    <row r="24" spans="1:11" s="3" customFormat="1" x14ac:dyDescent="0.2">
      <c r="A24" s="257" t="s">
        <v>151</v>
      </c>
      <c r="B24" s="94">
        <f>constants!D6</f>
        <v>1</v>
      </c>
      <c r="C24" s="512" t="s">
        <v>247</v>
      </c>
      <c r="D24" s="94">
        <f>constants!D7</f>
        <v>1</v>
      </c>
      <c r="E24" s="583" t="s">
        <v>84</v>
      </c>
      <c r="F24" s="584"/>
      <c r="G24" s="259">
        <f>VLOOKUP(measurement!F8,constants!E6:F12,2)</f>
        <v>757.9</v>
      </c>
      <c r="H24" s="244" t="s">
        <v>82</v>
      </c>
      <c r="I24" s="253">
        <f>VLOOKUP(measurement!I8,constants!G6:H14,2)</f>
        <v>-1</v>
      </c>
      <c r="J24" s="244" t="s">
        <v>170</v>
      </c>
      <c r="K24" s="238">
        <f>constants!L6</f>
        <v>0</v>
      </c>
    </row>
    <row r="25" spans="1:11" s="3" customFormat="1" x14ac:dyDescent="0.2">
      <c r="A25" s="257" t="s">
        <v>152</v>
      </c>
      <c r="B25" s="94">
        <f>constants!D8</f>
        <v>1</v>
      </c>
      <c r="C25" s="512" t="s">
        <v>248</v>
      </c>
      <c r="D25" s="94">
        <f>constants!D9</f>
        <v>1</v>
      </c>
      <c r="E25" s="583" t="s">
        <v>85</v>
      </c>
      <c r="F25" s="584"/>
      <c r="G25" s="252">
        <f>(TRUNC(G24/100)+MOD(G24,100)/60)/0.9</f>
        <v>8.85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2">
      <c r="A26" s="264" t="s">
        <v>153</v>
      </c>
      <c r="B26" s="94">
        <f>constants!D10</f>
        <v>1</v>
      </c>
      <c r="C26" s="513" t="s">
        <v>249</v>
      </c>
      <c r="D26" s="94">
        <f>constants!D11</f>
        <v>1</v>
      </c>
      <c r="E26" s="90"/>
      <c r="F26" s="361"/>
      <c r="G26" s="362"/>
      <c r="H26" s="577"/>
      <c r="I26" s="579"/>
      <c r="J26" s="244" t="s">
        <v>171</v>
      </c>
      <c r="K26" s="238">
        <f>constants!L7</f>
        <v>0</v>
      </c>
    </row>
    <row r="27" spans="1:11" s="3" customFormat="1" x14ac:dyDescent="0.2">
      <c r="A27" s="577" t="s">
        <v>154</v>
      </c>
      <c r="B27" s="578"/>
      <c r="C27" s="578"/>
      <c r="D27" s="579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2">
      <c r="A28" s="254"/>
      <c r="B28" s="265" t="s">
        <v>81</v>
      </c>
      <c r="C28" s="466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2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2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2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2">
      <c r="A32" s="244" t="s">
        <v>80</v>
      </c>
      <c r="B32" s="408">
        <f>constants!E24</f>
        <v>9115</v>
      </c>
      <c r="C32" s="97" t="s">
        <v>72</v>
      </c>
      <c r="D32" s="23" t="s">
        <v>31</v>
      </c>
      <c r="E32" s="108">
        <f ca="1">B12+ASIN(D12/SQRT((B33+F12)^2+(G12)^2))*200/PI()-ATAN(G12/(B33+F12))*200/PI()</f>
        <v>123.07373771277187</v>
      </c>
      <c r="F32" s="97" t="s">
        <v>99</v>
      </c>
      <c r="G32" s="23"/>
      <c r="H32" s="108">
        <f ca="1">C16-measurement!J8*ASIN(D16/E16)*200/PI()</f>
        <v>89.842869505418406</v>
      </c>
      <c r="I32" s="42" t="s">
        <v>67</v>
      </c>
      <c r="J32" s="23" t="s">
        <v>31</v>
      </c>
      <c r="K32" s="245">
        <f ca="1">AVERAGE(E15:E18)</f>
        <v>57474.886375347378</v>
      </c>
    </row>
    <row r="33" spans="1:11" s="11" customFormat="1" x14ac:dyDescent="0.2">
      <c r="A33" s="244" t="s">
        <v>33</v>
      </c>
      <c r="B33" s="409">
        <f ca="1">IF(ISERR(C49),B32,C49)</f>
        <v>-119.1</v>
      </c>
      <c r="C33" s="97" t="s">
        <v>73</v>
      </c>
      <c r="D33" s="23" t="s">
        <v>31</v>
      </c>
      <c r="E33" s="108">
        <f ca="1">B11-ASIN(D11/SQRT((B33+F11)^2+(G11)^2))*200/PI()-ATAN(G11/(B33+F11))*200/PI()</f>
        <v>322.0786804920923</v>
      </c>
      <c r="F33" s="97" t="s">
        <v>95</v>
      </c>
      <c r="G33" s="23"/>
      <c r="H33" s="108">
        <f ca="1">C15+measurement!J8*ASIN(D15/E15)*200/PI()-200</f>
        <v>89.853136002820293</v>
      </c>
      <c r="I33" s="42" t="s">
        <v>68</v>
      </c>
      <c r="J33" s="23" t="s">
        <v>31</v>
      </c>
      <c r="K33" s="245">
        <f>I24</f>
        <v>-1</v>
      </c>
    </row>
    <row r="34" spans="1:11" s="11" customFormat="1" x14ac:dyDescent="0.2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321.90131704115697</v>
      </c>
      <c r="F34" s="97" t="s">
        <v>96</v>
      </c>
      <c r="G34" s="23"/>
      <c r="H34" s="108">
        <f ca="1">200-(C18+measurement!J8*ASIN(D18/E18)*200/PI())+200</f>
        <v>90.000951930164888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2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122.78213363675567</v>
      </c>
      <c r="F35" s="42" t="s">
        <v>97</v>
      </c>
      <c r="G35" s="23"/>
      <c r="H35" s="108">
        <f ca="1">400-(C17-measurement!J8*ASIN(D17/E17)*200/PI())-200</f>
        <v>90.001540282282122</v>
      </c>
      <c r="I35" s="42" t="s">
        <v>200</v>
      </c>
      <c r="J35" s="23" t="s">
        <v>31</v>
      </c>
      <c r="K35" s="106">
        <f ca="1">(K32+K33+K34)</f>
        <v>57473.886375347378</v>
      </c>
    </row>
    <row r="36" spans="1:11" s="11" customFormat="1" x14ac:dyDescent="0.2">
      <c r="A36" s="244" t="s">
        <v>35</v>
      </c>
      <c r="B36" s="483">
        <f>constants!F24</f>
        <v>89.861111111111029</v>
      </c>
      <c r="C36" s="97" t="s">
        <v>161</v>
      </c>
      <c r="D36" s="23" t="s">
        <v>31</v>
      </c>
      <c r="E36" s="108">
        <f ca="1">AVERAGE(E32:E35)</f>
        <v>222.45896722069421</v>
      </c>
      <c r="F36" s="97"/>
      <c r="G36" s="23"/>
      <c r="H36" s="108"/>
      <c r="I36" s="231"/>
      <c r="J36" s="196"/>
      <c r="K36" s="188"/>
    </row>
    <row r="37" spans="1:11" s="11" customFormat="1" x14ac:dyDescent="0.2">
      <c r="A37" s="244" t="s">
        <v>36</v>
      </c>
      <c r="B37" s="108">
        <f ca="1">IF(ISERR(H40),B36,H40)</f>
        <v>89.924624430171434</v>
      </c>
      <c r="C37" s="97" t="s">
        <v>162</v>
      </c>
      <c r="D37" s="49"/>
      <c r="E37" s="108">
        <f ca="1">MOD(IF(E32&lt;E33,E36-200,E36)+400,400)</f>
        <v>22.458967220694205</v>
      </c>
      <c r="F37" s="42" t="s">
        <v>98</v>
      </c>
      <c r="G37" s="23" t="s">
        <v>31</v>
      </c>
      <c r="H37" s="294">
        <f ca="1">IF(AVERAGE(H32:H35)&gt;100,AVERAGE(H32:H35)-200, AVERAGE(H32:H35))</f>
        <v>89.924624430171434</v>
      </c>
      <c r="I37" s="42" t="s">
        <v>69</v>
      </c>
      <c r="J37" s="23" t="s">
        <v>31</v>
      </c>
      <c r="K37" s="106">
        <f ca="1">K35*COS(H40*PI()/200)</f>
        <v>9058.1014472855713</v>
      </c>
    </row>
    <row r="38" spans="1:11" s="11" customFormat="1" x14ac:dyDescent="0.2">
      <c r="A38" s="90"/>
      <c r="B38" s="91"/>
      <c r="C38" s="298" t="s">
        <v>163</v>
      </c>
      <c r="D38" s="299" t="s">
        <v>31</v>
      </c>
      <c r="E38" s="300">
        <f>IF(measurement!F8=0,NA(),(B7+B8+B13+B14)/4)</f>
        <v>111.6650462962963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56755.602483429102</v>
      </c>
    </row>
    <row r="39" spans="1:11" s="11" customFormat="1" x14ac:dyDescent="0.2">
      <c r="A39" s="90"/>
      <c r="B39" s="52"/>
      <c r="C39" s="301" t="s">
        <v>164</v>
      </c>
      <c r="D39" s="302" t="s">
        <v>31</v>
      </c>
      <c r="E39" s="109">
        <f>IF(B8&lt;B7,E38-100,E38+100)</f>
        <v>211.66504629629628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2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89.924624430171434</v>
      </c>
      <c r="I40" s="292"/>
      <c r="J40" s="306" t="s">
        <v>174</v>
      </c>
      <c r="K40" s="307"/>
    </row>
    <row r="41" spans="1:11" s="11" customFormat="1" x14ac:dyDescent="0.2">
      <c r="A41" s="231"/>
      <c r="B41" s="52"/>
      <c r="C41" s="97" t="s">
        <v>166</v>
      </c>
      <c r="D41" s="23" t="s">
        <v>31</v>
      </c>
      <c r="E41" s="108">
        <f ca="1">(MOD(G25+E37-E39+E40+400,400)) - 200</f>
        <v>19.643920924397918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18.149302517416288</v>
      </c>
    </row>
    <row r="42" spans="1:11" s="11" customFormat="1" x14ac:dyDescent="0.2">
      <c r="A42" s="231"/>
      <c r="B42" s="188"/>
      <c r="C42" s="196"/>
      <c r="D42" s="23" t="s">
        <v>31</v>
      </c>
      <c r="E42" s="238">
        <f ca="1">ROUND(E41*54,2)</f>
        <v>1060.77</v>
      </c>
      <c r="F42" s="196"/>
      <c r="G42" s="196"/>
      <c r="H42" s="196"/>
      <c r="I42" s="42"/>
      <c r="J42" s="23" t="s">
        <v>31</v>
      </c>
      <c r="K42" s="262">
        <f ca="1">ROUND(K41*54,1)</f>
        <v>980.1</v>
      </c>
    </row>
    <row r="43" spans="1:11" s="11" customFormat="1" x14ac:dyDescent="0.2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1620.1000000000001</v>
      </c>
    </row>
    <row r="44" spans="1:11" s="11" customFormat="1" x14ac:dyDescent="0.2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9056.7708808230873</v>
      </c>
    </row>
    <row r="45" spans="1:11" s="3" customFormat="1" x14ac:dyDescent="0.2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56756.563000000002</v>
      </c>
    </row>
    <row r="46" spans="1:11" s="3" customFormat="1" x14ac:dyDescent="0.2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2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2">
      <c r="A48" s="147" t="s">
        <v>176</v>
      </c>
      <c r="B48" s="574" t="s">
        <v>62</v>
      </c>
      <c r="C48" s="575"/>
      <c r="D48" s="574" t="s">
        <v>63</v>
      </c>
      <c r="E48" s="575"/>
      <c r="F48" s="574" t="s">
        <v>64</v>
      </c>
      <c r="G48" s="575"/>
      <c r="I48" s="233" t="s">
        <v>178</v>
      </c>
      <c r="J48" s="234"/>
      <c r="K48" s="218">
        <v>0.18518499999999999</v>
      </c>
    </row>
    <row r="49" spans="1:13" s="11" customFormat="1" x14ac:dyDescent="0.2">
      <c r="A49" s="199" t="s">
        <v>113</v>
      </c>
      <c r="B49" s="232"/>
      <c r="C49" s="197">
        <f ca="1">ROUND(SQRT(K37^2-(AVERAGE(G15:G18))^2)-AVERAGE(F15:F18),1)</f>
        <v>-119.1</v>
      </c>
      <c r="D49" s="232"/>
      <c r="E49" s="200">
        <f ca="1">TRUNC(E42/60)*100+MOD(E42/60,1)*60</f>
        <v>1740.77</v>
      </c>
      <c r="F49" s="232"/>
      <c r="G49" s="243">
        <f ca="1">ROUND(K38-AVERAGE(H15:H18),1)</f>
        <v>-136.9</v>
      </c>
      <c r="I49" s="214" t="s">
        <v>179</v>
      </c>
      <c r="J49" s="196"/>
      <c r="K49" s="216">
        <f ca="1">(-SIN(B37*PI()/200)*(F20-F19)/K35+COS(B37*PI()/200)*(H20-H19)/K35)*200/PI()</f>
        <v>-1.4995164801995706E-3</v>
      </c>
    </row>
    <row r="50" spans="1:13" s="11" customFormat="1" x14ac:dyDescent="0.2">
      <c r="A50" s="484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0.18368548351980041</v>
      </c>
    </row>
    <row r="51" spans="1:13" s="11" customFormat="1" x14ac:dyDescent="0.2">
      <c r="A51" s="485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166.9</v>
      </c>
    </row>
    <row r="52" spans="1:13" s="3" customFormat="1" x14ac:dyDescent="0.2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0.99359395637835901</v>
      </c>
    </row>
    <row r="53" spans="1:13" s="3" customFormat="1" x14ac:dyDescent="0.2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2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211.40869141647556</v>
      </c>
      <c r="J54" s="296" t="s">
        <v>187</v>
      </c>
      <c r="K54" s="322"/>
    </row>
    <row r="55" spans="1:13" s="3" customFormat="1" x14ac:dyDescent="0.2">
      <c r="A55" s="99" t="s">
        <v>182</v>
      </c>
      <c r="B55" s="191">
        <f ca="1">(E32-E33+E34-E35)/4/200*PI()*K37</f>
        <v>4.0636625514135174</v>
      </c>
      <c r="C55" s="191">
        <f ca="1">(-E32-E33+E34+E35)/4/200*PI()*K37</f>
        <v>-16.681681982681912</v>
      </c>
      <c r="D55" s="193">
        <f ca="1">IF(E32&lt;E33,(E32-E33-E34+E35+400)/4/200*PI()*K37,(E32-E33-E34+E35-400)/4/200*PI()*K37)</f>
        <v>66.72685984509566</v>
      </c>
      <c r="E55" s="87"/>
      <c r="F55" s="292" t="s">
        <v>193</v>
      </c>
      <c r="G55" s="196"/>
      <c r="H55" s="324">
        <f ca="1">E33-E38</f>
        <v>210.41363419579602</v>
      </c>
      <c r="J55" s="314" t="s">
        <v>196</v>
      </c>
      <c r="K55" s="336">
        <f ca="1">H32+(ATAN($G$49/$C$49)-ATAN(($G$49+H15)/SQRT(($C$49+F15)^2+G15^2)))/PI()*200</f>
        <v>54.340033987065972</v>
      </c>
    </row>
    <row r="56" spans="1:13" s="3" customFormat="1" x14ac:dyDescent="0.2">
      <c r="A56" s="47" t="s">
        <v>183</v>
      </c>
      <c r="B56" s="192">
        <f ca="1">-(H32-H33+H34-H35)/4/200*PI()*K35-((F15-F16+F17-F18)*SIN(H40/200*PI())-(H15-H16+H17-H18)*COS(H40/200*PI()))/4</f>
        <v>2.0438543026823055</v>
      </c>
      <c r="C56" s="107"/>
      <c r="D56" s="194">
        <f ca="1">((-H32-H33+H34+H35)/4/200*PI()-((F15+F16-F17-F18)*SIN(H40/200*PI())-(H15+H16-H17-H18)*COS(H40/200*PI()))/(4*K35))*K38</f>
        <v>66.381399570644476</v>
      </c>
      <c r="E56" s="87"/>
      <c r="F56" s="292" t="s">
        <v>194</v>
      </c>
      <c r="G56" s="196"/>
      <c r="H56" s="324">
        <f ca="1">E34-E38</f>
        <v>210.23627074486069</v>
      </c>
      <c r="J56" s="42" t="s">
        <v>197</v>
      </c>
      <c r="K56" s="337">
        <f ca="1">H33+(ATAN($G$49/$C$49)-ATAN(($G$49+H16)/SQRT(($C$49+F16)^2+G16^2)))/PI()*200</f>
        <v>54.349800980951258</v>
      </c>
    </row>
    <row r="57" spans="1:13" s="3" customFormat="1" x14ac:dyDescent="0.2">
      <c r="E57" s="2"/>
      <c r="F57" s="292" t="s">
        <v>195</v>
      </c>
      <c r="G57" s="196"/>
      <c r="H57" s="324">
        <f ca="1">E35+200-E38</f>
        <v>211.11708734045942</v>
      </c>
      <c r="J57" s="42" t="s">
        <v>198</v>
      </c>
      <c r="K57" s="337">
        <f ca="1">H34+(ATAN($G$49/$C$49)-ATAN(($G$49+H17)/SQRT(($C$49+F17)^2+G17^2)))/PI()*200</f>
        <v>54.494118415671402</v>
      </c>
      <c r="L57" s="585"/>
      <c r="M57" s="585"/>
    </row>
    <row r="58" spans="1:13" s="11" customFormat="1" x14ac:dyDescent="0.2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1.4228432481131712</v>
      </c>
      <c r="J58" s="42" t="s">
        <v>199</v>
      </c>
      <c r="K58" s="337">
        <f ca="1">H35+(ATAN($G$49/$C$49)-ATAN(($G$49+H18)/SQRT(($C$49+F18)^2+G18^2)))/PI()*200</f>
        <v>54.493382223775001</v>
      </c>
      <c r="L58" s="196"/>
      <c r="M58" s="196"/>
    </row>
    <row r="59" spans="1:13" s="11" customFormat="1" x14ac:dyDescent="0.2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111.6653</v>
      </c>
      <c r="J59" s="328" t="s">
        <v>188</v>
      </c>
      <c r="K59" s="327">
        <f ca="1">0.001/200*PI()*K38</f>
        <v>0.89151491906001756</v>
      </c>
    </row>
    <row r="60" spans="1:13" x14ac:dyDescent="0.2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111.6648</v>
      </c>
    </row>
    <row r="61" spans="1:13" x14ac:dyDescent="0.2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5.0000000000238742E-4</v>
      </c>
      <c r="J61" s="580" t="str">
        <f>measurement!F3</f>
        <v>USGS Order</v>
      </c>
      <c r="K61" s="580"/>
    </row>
    <row r="63" spans="1:13" x14ac:dyDescent="0.2">
      <c r="H63" s="215"/>
    </row>
    <row r="66" spans="1:9" x14ac:dyDescent="0.2">
      <c r="A66" s="241"/>
      <c r="B66" s="240"/>
      <c r="C66" s="242"/>
      <c r="D66" s="240"/>
      <c r="I66" s="7" t="s">
        <v>37</v>
      </c>
    </row>
    <row r="67" spans="1:9" x14ac:dyDescent="0.2">
      <c r="I67" s="212"/>
    </row>
    <row r="68" spans="1:9" x14ac:dyDescent="0.2">
      <c r="I68" s="212"/>
    </row>
    <row r="71" spans="1:9" x14ac:dyDescent="0.2">
      <c r="D71" s="240"/>
    </row>
  </sheetData>
  <mergeCells count="13">
    <mergeCell ref="J61:K61"/>
    <mergeCell ref="E23:F23"/>
    <mergeCell ref="E24:F24"/>
    <mergeCell ref="E25:F25"/>
    <mergeCell ref="L57:M57"/>
    <mergeCell ref="J23:K23"/>
    <mergeCell ref="H26:I26"/>
    <mergeCell ref="B48:C48"/>
    <mergeCell ref="D48:E48"/>
    <mergeCell ref="F48:G48"/>
    <mergeCell ref="A1:E1"/>
    <mergeCell ref="A23:D23"/>
    <mergeCell ref="A27:D27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4"/>
  <sheetViews>
    <sheetView zoomScale="110" workbookViewId="0"/>
  </sheetViews>
  <sheetFormatPr defaultColWidth="9.28515625" defaultRowHeight="12.75" x14ac:dyDescent="0.2"/>
  <cols>
    <col min="1" max="2" width="9.28515625" style="101" customWidth="1"/>
    <col min="3" max="3" width="6.7109375" style="101" customWidth="1"/>
    <col min="4" max="4" width="9.28515625" style="101"/>
    <col min="5" max="5" width="9.5703125" style="101" customWidth="1"/>
    <col min="6" max="16384" width="9.28515625" style="101"/>
  </cols>
  <sheetData>
    <row r="1" spans="1:12" ht="20.25" x14ac:dyDescent="0.3">
      <c r="A1" s="2"/>
      <c r="B1" s="2"/>
      <c r="C1" s="2"/>
      <c r="D1" s="588" t="s">
        <v>211</v>
      </c>
      <c r="E1" s="588"/>
      <c r="F1" s="588"/>
      <c r="G1" s="588"/>
      <c r="H1" s="2"/>
      <c r="I1" s="2"/>
      <c r="J1" s="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5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2">
      <c r="A4" s="44" t="s">
        <v>132</v>
      </c>
      <c r="B4" s="569" t="s">
        <v>133</v>
      </c>
      <c r="C4" s="587"/>
      <c r="D4" s="570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2">
      <c r="A5" s="543" t="s">
        <v>292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2">
      <c r="A6" s="468"/>
      <c r="B6" s="382" t="s">
        <v>86</v>
      </c>
      <c r="C6" s="489" t="s">
        <v>113</v>
      </c>
      <c r="D6" s="494">
        <v>1</v>
      </c>
      <c r="E6" s="383">
        <v>1</v>
      </c>
      <c r="F6" s="420">
        <v>757.9</v>
      </c>
      <c r="G6" s="499">
        <v>1</v>
      </c>
      <c r="H6" s="500">
        <v>-1</v>
      </c>
      <c r="I6" s="499">
        <v>1</v>
      </c>
      <c r="J6" s="500"/>
      <c r="K6" s="423" t="s">
        <v>213</v>
      </c>
      <c r="L6" s="425">
        <v>0</v>
      </c>
    </row>
    <row r="7" spans="1:12" x14ac:dyDescent="0.2">
      <c r="A7" s="469"/>
      <c r="B7" s="16"/>
      <c r="C7" s="490" t="s">
        <v>240</v>
      </c>
      <c r="D7" s="495">
        <v>1</v>
      </c>
      <c r="E7" s="344">
        <v>2</v>
      </c>
      <c r="F7" s="421"/>
      <c r="G7" s="501">
        <v>2</v>
      </c>
      <c r="H7" s="502"/>
      <c r="I7" s="501">
        <v>2</v>
      </c>
      <c r="J7" s="502"/>
      <c r="K7" s="424" t="s">
        <v>214</v>
      </c>
      <c r="L7" s="426">
        <v>0</v>
      </c>
    </row>
    <row r="8" spans="1:12" x14ac:dyDescent="0.2">
      <c r="A8" s="470"/>
      <c r="B8" s="374" t="s">
        <v>87</v>
      </c>
      <c r="C8" s="491" t="s">
        <v>244</v>
      </c>
      <c r="D8" s="496">
        <v>1</v>
      </c>
      <c r="E8" s="344">
        <v>3</v>
      </c>
      <c r="F8" s="421"/>
      <c r="G8" s="501">
        <v>3</v>
      </c>
      <c r="H8" s="502"/>
      <c r="I8" s="501">
        <v>3</v>
      </c>
      <c r="J8" s="502"/>
      <c r="K8" s="505"/>
      <c r="L8" s="428"/>
    </row>
    <row r="9" spans="1:12" x14ac:dyDescent="0.2">
      <c r="A9" s="470"/>
      <c r="B9" s="373"/>
      <c r="C9" s="492" t="s">
        <v>240</v>
      </c>
      <c r="D9" s="497">
        <v>1</v>
      </c>
      <c r="E9" s="344">
        <v>4</v>
      </c>
      <c r="F9" s="421"/>
      <c r="G9" s="501">
        <v>19</v>
      </c>
      <c r="H9" s="502"/>
      <c r="I9" s="501">
        <v>19</v>
      </c>
      <c r="J9" s="502"/>
      <c r="K9" s="505"/>
      <c r="L9" s="427"/>
    </row>
    <row r="10" spans="1:12" x14ac:dyDescent="0.2">
      <c r="A10" s="470"/>
      <c r="B10" s="16" t="s">
        <v>88</v>
      </c>
      <c r="C10" s="493" t="s">
        <v>245</v>
      </c>
      <c r="D10" s="495">
        <v>1</v>
      </c>
      <c r="E10" s="344">
        <v>5</v>
      </c>
      <c r="F10" s="421"/>
      <c r="G10" s="501">
        <v>90</v>
      </c>
      <c r="H10" s="502"/>
      <c r="I10" s="501">
        <v>90</v>
      </c>
      <c r="J10" s="502"/>
      <c r="K10" s="15"/>
      <c r="L10" s="27"/>
    </row>
    <row r="11" spans="1:12" x14ac:dyDescent="0.2">
      <c r="A11" s="469"/>
      <c r="B11" s="373"/>
      <c r="C11" s="492" t="s">
        <v>240</v>
      </c>
      <c r="D11" s="497">
        <v>1</v>
      </c>
      <c r="E11" s="344">
        <v>6</v>
      </c>
      <c r="F11" s="421"/>
      <c r="G11" s="501">
        <v>105</v>
      </c>
      <c r="H11" s="502">
        <v>-0.4</v>
      </c>
      <c r="I11" s="501">
        <v>105</v>
      </c>
      <c r="J11" s="502">
        <v>7.8</v>
      </c>
      <c r="K11" s="15"/>
      <c r="L11" s="27"/>
    </row>
    <row r="12" spans="1:12" x14ac:dyDescent="0.2">
      <c r="A12" s="471"/>
      <c r="B12" s="266" t="s">
        <v>212</v>
      </c>
      <c r="C12" s="268"/>
      <c r="D12" s="498">
        <f>measurement!K8</f>
        <v>1</v>
      </c>
      <c r="E12" s="344">
        <v>7</v>
      </c>
      <c r="F12" s="422"/>
      <c r="G12" s="501">
        <v>307</v>
      </c>
      <c r="H12" s="502">
        <v>-4</v>
      </c>
      <c r="I12" s="501">
        <v>307</v>
      </c>
      <c r="J12" s="502">
        <v>4</v>
      </c>
      <c r="K12" s="15"/>
      <c r="L12" s="27"/>
    </row>
    <row r="13" spans="1:12" x14ac:dyDescent="0.2">
      <c r="A13" s="390" t="s">
        <v>292</v>
      </c>
      <c r="B13" s="391"/>
      <c r="C13" s="392"/>
      <c r="D13" s="393"/>
      <c r="E13" s="394"/>
      <c r="F13" s="429"/>
      <c r="G13" s="501">
        <v>856</v>
      </c>
      <c r="H13" s="502"/>
      <c r="I13" s="501">
        <v>856</v>
      </c>
      <c r="J13" s="502"/>
      <c r="K13" s="15"/>
      <c r="L13" s="27"/>
    </row>
    <row r="14" spans="1:12" x14ac:dyDescent="0.2">
      <c r="A14" s="16"/>
      <c r="B14" s="16"/>
      <c r="C14" s="12"/>
      <c r="D14" s="377"/>
      <c r="E14" s="344"/>
      <c r="F14" s="378"/>
      <c r="G14" s="503">
        <v>880</v>
      </c>
      <c r="H14" s="504"/>
      <c r="I14" s="503">
        <v>880</v>
      </c>
      <c r="J14" s="504"/>
      <c r="K14" s="15"/>
      <c r="L14" s="27"/>
    </row>
    <row r="15" spans="1:12" x14ac:dyDescent="0.2">
      <c r="A15" s="467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2">
      <c r="A16" s="16"/>
      <c r="B16" s="16"/>
      <c r="F16" s="378"/>
      <c r="G16" s="15"/>
      <c r="H16" s="27"/>
      <c r="I16" s="15"/>
      <c r="J16" s="27"/>
    </row>
    <row r="17" spans="1:10" x14ac:dyDescent="0.2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2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2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5" x14ac:dyDescent="0.2">
      <c r="A20" s="103"/>
      <c r="B20" s="2"/>
      <c r="C20" s="2"/>
      <c r="D20" s="103" t="s">
        <v>138</v>
      </c>
      <c r="E20" s="472"/>
      <c r="F20" s="472"/>
      <c r="G20" s="467"/>
      <c r="H20" s="459"/>
      <c r="I20" s="15"/>
      <c r="J20" s="27"/>
    </row>
    <row r="21" spans="1:10" ht="15" x14ac:dyDescent="0.2">
      <c r="A21" s="347"/>
      <c r="B21" s="2"/>
      <c r="C21" s="2"/>
      <c r="D21" s="103" t="s">
        <v>139</v>
      </c>
      <c r="E21" s="473"/>
      <c r="F21" s="473"/>
      <c r="G21" s="472"/>
      <c r="H21" s="459"/>
      <c r="I21" s="15"/>
      <c r="J21" s="27"/>
    </row>
    <row r="22" spans="1:10" x14ac:dyDescent="0.2">
      <c r="A22" s="26"/>
      <c r="B22" s="28"/>
      <c r="C22" s="49"/>
      <c r="D22" s="474" t="s">
        <v>234</v>
      </c>
      <c r="E22" s="475" t="s">
        <v>43</v>
      </c>
      <c r="F22" s="476" t="s">
        <v>44</v>
      </c>
      <c r="G22" s="472"/>
      <c r="H22" s="459"/>
      <c r="I22" s="15"/>
      <c r="J22" s="27"/>
    </row>
    <row r="23" spans="1:10" x14ac:dyDescent="0.2">
      <c r="A23" s="26"/>
      <c r="B23" s="375"/>
      <c r="C23" s="49"/>
      <c r="D23" s="477" t="s">
        <v>235</v>
      </c>
      <c r="E23" s="478" t="s">
        <v>19</v>
      </c>
      <c r="F23" s="36" t="s">
        <v>9</v>
      </c>
      <c r="G23" s="472"/>
      <c r="H23" s="459"/>
      <c r="I23" s="15"/>
      <c r="J23" s="27"/>
    </row>
    <row r="24" spans="1:10" x14ac:dyDescent="0.2">
      <c r="A24" s="26"/>
      <c r="B24" s="375"/>
      <c r="C24" s="49"/>
      <c r="D24" s="477"/>
      <c r="E24" s="479">
        <f>IF($D$25="X", E25,IF($D$26="X",E26,1/0))</f>
        <v>9115</v>
      </c>
      <c r="F24" s="482">
        <f>IF($D$25="X", F25,IF($D$26="X",F26,1/0))</f>
        <v>89.861111111111029</v>
      </c>
      <c r="G24" s="472" t="s">
        <v>236</v>
      </c>
      <c r="H24" s="459"/>
      <c r="I24" s="15"/>
      <c r="J24" s="27"/>
    </row>
    <row r="25" spans="1:10" x14ac:dyDescent="0.2">
      <c r="A25" s="2"/>
      <c r="B25" s="2"/>
      <c r="C25" s="2"/>
      <c r="D25" s="480" t="s">
        <v>235</v>
      </c>
      <c r="E25" s="481">
        <f>ROUND(COS(RADIANS(0.9*F25))*measurement!B59,0)</f>
        <v>9115</v>
      </c>
      <c r="F25" s="407">
        <f>IF(calculations!C15&gt;100, calculations!C15-200, calculations!C15)</f>
        <v>89.861111111111029</v>
      </c>
      <c r="G25" s="472" t="s">
        <v>232</v>
      </c>
      <c r="H25" s="459"/>
      <c r="I25" s="15"/>
      <c r="J25" s="27"/>
    </row>
    <row r="26" spans="1:10" x14ac:dyDescent="0.2">
      <c r="A26" s="2"/>
      <c r="B26" s="2"/>
      <c r="C26" s="2"/>
      <c r="D26" s="480" t="s">
        <v>1</v>
      </c>
      <c r="E26" s="481">
        <v>4000</v>
      </c>
      <c r="F26" s="407">
        <v>95</v>
      </c>
      <c r="G26" s="472" t="s">
        <v>233</v>
      </c>
      <c r="H26" s="459"/>
      <c r="I26" s="15"/>
      <c r="J26" s="27"/>
    </row>
    <row r="27" spans="1:10" x14ac:dyDescent="0.2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2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2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2">
      <c r="A30" s="589" t="str">
        <f>measurement!F3</f>
        <v>USGS Order</v>
      </c>
      <c r="B30" s="589"/>
      <c r="C30" s="589"/>
      <c r="D30" s="2"/>
      <c r="E30" s="16"/>
      <c r="F30" s="344"/>
      <c r="G30" s="28"/>
      <c r="H30" s="2"/>
      <c r="I30" s="26"/>
      <c r="J30" s="381"/>
    </row>
    <row r="31" spans="1:10" x14ac:dyDescent="0.2">
      <c r="I31" s="26"/>
      <c r="J31" s="381"/>
    </row>
    <row r="32" spans="1:10" x14ac:dyDescent="0.2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2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2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2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2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2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2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2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2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2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2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2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2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2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2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2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2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2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2">
      <c r="I50" s="23"/>
      <c r="J50" s="23"/>
    </row>
    <row r="51" spans="1:10" ht="15" x14ac:dyDescent="0.2">
      <c r="I51" s="586"/>
      <c r="J51" s="586"/>
    </row>
    <row r="52" spans="1:10" x14ac:dyDescent="0.2">
      <c r="I52" s="26"/>
      <c r="J52" s="23"/>
    </row>
    <row r="53" spans="1:10" x14ac:dyDescent="0.2">
      <c r="I53" s="26"/>
      <c r="J53" s="23"/>
    </row>
    <row r="54" spans="1:10" x14ac:dyDescent="0.2">
      <c r="I54" s="26"/>
      <c r="J54" s="18"/>
    </row>
    <row r="55" spans="1:10" x14ac:dyDescent="0.2">
      <c r="I55" s="376"/>
      <c r="J55" s="18"/>
    </row>
    <row r="56" spans="1:10" x14ac:dyDescent="0.2">
      <c r="I56" s="376"/>
      <c r="J56" s="18"/>
    </row>
    <row r="57" spans="1:10" x14ac:dyDescent="0.2">
      <c r="I57" s="26"/>
      <c r="J57" s="23"/>
    </row>
    <row r="58" spans="1:10" x14ac:dyDescent="0.2">
      <c r="I58" s="26"/>
      <c r="J58" s="23"/>
    </row>
    <row r="59" spans="1:10" x14ac:dyDescent="0.2">
      <c r="I59" s="26"/>
      <c r="J59" s="23"/>
    </row>
    <row r="60" spans="1:10" x14ac:dyDescent="0.2">
      <c r="I60" s="26"/>
      <c r="J60" s="23"/>
    </row>
    <row r="61" spans="1:10" x14ac:dyDescent="0.2">
      <c r="J61" s="237"/>
    </row>
    <row r="64" spans="1:10" x14ac:dyDescent="0.2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6"/>
  <sheetViews>
    <sheetView zoomScale="105" workbookViewId="0">
      <selection activeCell="E5" sqref="E5"/>
    </sheetView>
  </sheetViews>
  <sheetFormatPr defaultColWidth="8.5703125" defaultRowHeight="12.75" x14ac:dyDescent="0.2"/>
  <cols>
    <col min="1" max="2" width="7.7109375" customWidth="1"/>
    <col min="3" max="4" width="6.7109375" customWidth="1"/>
    <col min="5" max="10" width="7.7109375" customWidth="1"/>
    <col min="11" max="19" width="6.140625" customWidth="1"/>
    <col min="20" max="20" width="6.7109375" customWidth="1"/>
    <col min="21" max="21" width="8.5703125" customWidth="1"/>
    <col min="22" max="22" width="8.5703125" style="338" customWidth="1"/>
  </cols>
  <sheetData>
    <row r="1" spans="1:26" ht="20.25" x14ac:dyDescent="0.3">
      <c r="A1" s="576" t="s">
        <v>202</v>
      </c>
      <c r="B1" s="576"/>
      <c r="C1" s="576"/>
      <c r="D1" s="576"/>
      <c r="E1" s="576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2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2">
      <c r="A3" s="56" t="s">
        <v>142</v>
      </c>
      <c r="B3" s="57" t="s">
        <v>143</v>
      </c>
      <c r="C3" s="57" t="s">
        <v>108</v>
      </c>
      <c r="D3" s="58" t="s">
        <v>2</v>
      </c>
      <c r="E3" s="591" t="s">
        <v>144</v>
      </c>
      <c r="F3" s="592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2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7"/>
      <c r="L4" s="487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2">
      <c r="A5" s="67" t="str">
        <f>measurement!A8</f>
        <v>BRW</v>
      </c>
      <c r="B5" s="68">
        <f>measurement!B8</f>
        <v>2013</v>
      </c>
      <c r="C5" s="69">
        <f>measurement!C8</f>
        <v>1231</v>
      </c>
      <c r="D5" s="70">
        <f>measurement!D8</f>
        <v>0</v>
      </c>
      <c r="E5" s="155" t="str">
        <f>measurement!E8</f>
        <v>KR</v>
      </c>
      <c r="F5" s="249">
        <v>1</v>
      </c>
      <c r="G5" s="71">
        <f>measurement!F8</f>
        <v>1</v>
      </c>
      <c r="H5" s="72">
        <f>measurement!G8</f>
        <v>20</v>
      </c>
      <c r="I5" s="73" t="str">
        <f>measurement!H8</f>
        <v>DM</v>
      </c>
      <c r="J5" s="507">
        <f>measurement!I8</f>
        <v>1</v>
      </c>
      <c r="K5" s="488"/>
      <c r="L5" s="488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2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2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2">
      <c r="A8" s="386"/>
      <c r="B8" s="387"/>
      <c r="C8" s="388"/>
      <c r="D8" s="388"/>
      <c r="E8" s="593"/>
      <c r="F8" s="593"/>
      <c r="G8" s="430"/>
      <c r="H8" s="593"/>
      <c r="I8" s="593"/>
      <c r="J8" s="430"/>
      <c r="K8" s="593"/>
      <c r="L8" s="593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2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2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2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2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2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2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5.75" x14ac:dyDescent="0.25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2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2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2">
      <c r="A18" s="431"/>
      <c r="B18" s="432">
        <f>(B5*10000+C5)</f>
        <v>20131231</v>
      </c>
      <c r="C18" s="433">
        <f>D5</f>
        <v>0</v>
      </c>
      <c r="D18" s="434">
        <f>TRUNC(C5/100)+(MOD(C5/100,1)*100-1)/31</f>
        <v>12.967741935483872</v>
      </c>
      <c r="E18" s="435">
        <f ca="1">calculations!K44</f>
        <v>9056.7708808230873</v>
      </c>
      <c r="F18" s="436">
        <f ca="1">calculations!K43</f>
        <v>1620.1000000000001</v>
      </c>
      <c r="G18" s="437">
        <f ca="1">calculations!K45</f>
        <v>56756.563000000002</v>
      </c>
      <c r="H18" s="438">
        <f ca="1">calculations!C49</f>
        <v>-119.1</v>
      </c>
      <c r="I18" s="439">
        <f ca="1">calculations!E49</f>
        <v>1740.77</v>
      </c>
      <c r="J18" s="440">
        <f ca="1">calculations!G49</f>
        <v>-136.9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4.0636625514135174</v>
      </c>
      <c r="O18" s="438">
        <f ca="1">calculations!C55</f>
        <v>-16.681681982681912</v>
      </c>
      <c r="P18" s="440">
        <f ca="1">calculations!D55</f>
        <v>66.72685984509566</v>
      </c>
      <c r="Q18" s="438">
        <f ca="1">calculations!B56</f>
        <v>2.0438543026823055</v>
      </c>
      <c r="R18" s="440">
        <f ca="1">calculations!D56</f>
        <v>66.381399570644476</v>
      </c>
      <c r="S18" s="441">
        <f ca="1">calculations!K52</f>
        <v>0.99359395637835901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-4.723927329471274</v>
      </c>
      <c r="U18" s="434">
        <f>TRUNC((ROUND((calculations!E39)*54,2))/60)*100+MOD((ROUND((calculations!E39)*54,2))/60,1)*60</f>
        <v>19029.91</v>
      </c>
      <c r="V18" s="442">
        <f>measurement!J61</f>
        <v>17.100000000000001</v>
      </c>
      <c r="W18" s="442" t="str">
        <f>measurement!A8</f>
        <v>BRW</v>
      </c>
      <c r="X18" s="442" t="str">
        <f>measurement!E8</f>
        <v>KR</v>
      </c>
      <c r="Y18" s="431">
        <f>G5</f>
        <v>1</v>
      </c>
      <c r="Z18" s="507">
        <f>J5</f>
        <v>1</v>
      </c>
    </row>
    <row r="19" spans="1:26" x14ac:dyDescent="0.2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5.75" x14ac:dyDescent="0.25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2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2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2">
      <c r="A24" s="431"/>
      <c r="B24" s="432">
        <f t="shared" ref="B24:G24" si="0">B18</f>
        <v>20131231</v>
      </c>
      <c r="C24" s="433">
        <f t="shared" si="0"/>
        <v>0</v>
      </c>
      <c r="D24" s="434">
        <f t="shared" si="0"/>
        <v>12.967741935483872</v>
      </c>
      <c r="E24" s="438">
        <f t="shared" ca="1" si="0"/>
        <v>9056.7708808230873</v>
      </c>
      <c r="F24" s="438">
        <f t="shared" ca="1" si="0"/>
        <v>1620.1000000000001</v>
      </c>
      <c r="G24" s="448">
        <f t="shared" ca="1" si="0"/>
        <v>56756.563000000002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4.0636625514135174</v>
      </c>
      <c r="O24" s="438">
        <f t="shared" ca="1" si="1"/>
        <v>-16.681681982681912</v>
      </c>
      <c r="P24" s="440">
        <f t="shared" ca="1" si="1"/>
        <v>66.72685984509566</v>
      </c>
      <c r="Q24" s="438">
        <f t="shared" ca="1" si="1"/>
        <v>2.0438543026823055</v>
      </c>
      <c r="R24" s="440">
        <f t="shared" ca="1" si="1"/>
        <v>66.381399570644476</v>
      </c>
      <c r="S24" s="441">
        <f t="shared" ca="1" si="1"/>
        <v>0.99359395637835901</v>
      </c>
    </row>
    <row r="25" spans="1:26" x14ac:dyDescent="0.2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2">
      <c r="P26" s="590" t="str">
        <f>measurement!F3</f>
        <v>USGS Order</v>
      </c>
      <c r="Q26" s="590"/>
      <c r="R26" s="590"/>
      <c r="S26" s="590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6"/>
  <sheetViews>
    <sheetView workbookViewId="0">
      <selection activeCell="G5" sqref="G5"/>
    </sheetView>
  </sheetViews>
  <sheetFormatPr defaultRowHeight="12.75" x14ac:dyDescent="0.2"/>
  <cols>
    <col min="1" max="1" width="14.7109375" customWidth="1"/>
    <col min="2" max="2" width="11.7109375" customWidth="1"/>
    <col min="3" max="4" width="7.7109375" customWidth="1"/>
    <col min="7" max="7" width="8.7109375" customWidth="1"/>
    <col min="8" max="8" width="7.7109375" customWidth="1"/>
  </cols>
  <sheetData>
    <row r="2" spans="1:8" ht="18" x14ac:dyDescent="0.25">
      <c r="B2" s="522" t="s">
        <v>250</v>
      </c>
      <c r="E2" s="522" t="str">
        <f>measurement!A8</f>
        <v>BRW</v>
      </c>
    </row>
    <row r="4" spans="1:8" x14ac:dyDescent="0.2">
      <c r="A4" s="518" t="s">
        <v>251</v>
      </c>
      <c r="B4" s="521">
        <v>359137</v>
      </c>
      <c r="C4">
        <v>145</v>
      </c>
      <c r="F4" s="518" t="s">
        <v>262</v>
      </c>
      <c r="G4" s="517">
        <f>measurement!C8</f>
        <v>1231</v>
      </c>
      <c r="H4" s="523">
        <f>measurement!B8</f>
        <v>2013</v>
      </c>
    </row>
    <row r="5" spans="1:8" x14ac:dyDescent="0.2">
      <c r="A5" s="518" t="s">
        <v>252</v>
      </c>
      <c r="B5" s="521" t="s">
        <v>253</v>
      </c>
      <c r="F5" s="566" t="s">
        <v>294</v>
      </c>
      <c r="G5">
        <f>calcyjd(G4,H4)</f>
        <v>13365</v>
      </c>
    </row>
    <row r="6" spans="1:8" x14ac:dyDescent="0.2">
      <c r="A6" s="518" t="s">
        <v>263</v>
      </c>
      <c r="B6" s="528">
        <f>constants!H6</f>
        <v>-1</v>
      </c>
      <c r="F6" s="518" t="s">
        <v>109</v>
      </c>
      <c r="G6" s="338" t="str">
        <f>measurement!E8</f>
        <v>KR</v>
      </c>
    </row>
    <row r="7" spans="1:8" x14ac:dyDescent="0.2">
      <c r="A7" s="566" t="s">
        <v>293</v>
      </c>
      <c r="F7" s="518" t="s">
        <v>269</v>
      </c>
      <c r="H7" s="527">
        <f>measurement!J61</f>
        <v>17.100000000000001</v>
      </c>
    </row>
    <row r="8" spans="1:8" x14ac:dyDescent="0.2">
      <c r="A8" s="566"/>
    </row>
    <row r="9" spans="1:8" x14ac:dyDescent="0.2">
      <c r="C9" s="518" t="s">
        <v>260</v>
      </c>
      <c r="F9" s="518" t="s">
        <v>256</v>
      </c>
    </row>
    <row r="10" spans="1:8" x14ac:dyDescent="0.2">
      <c r="C10" s="518" t="s">
        <v>259</v>
      </c>
    </row>
    <row r="11" spans="1:8" x14ac:dyDescent="0.2">
      <c r="B11" s="519" t="s">
        <v>254</v>
      </c>
      <c r="C11" s="519" t="s">
        <v>257</v>
      </c>
      <c r="D11" s="519" t="s">
        <v>255</v>
      </c>
      <c r="E11" s="338"/>
      <c r="F11" s="519" t="s">
        <v>255</v>
      </c>
    </row>
    <row r="12" spans="1:8" x14ac:dyDescent="0.2">
      <c r="B12" s="517">
        <f>measurement!D8</f>
        <v>0</v>
      </c>
      <c r="C12" s="338">
        <f ca="1">TRUNC(calculations!K42/60)</f>
        <v>16</v>
      </c>
      <c r="D12" s="338">
        <f ca="1">MOD(calculations!K42/60,1)*60</f>
        <v>20.100000000000051</v>
      </c>
      <c r="F12" s="520">
        <f ca="1">calculations!E42</f>
        <v>1060.77</v>
      </c>
    </row>
    <row r="15" spans="1:8" x14ac:dyDescent="0.2">
      <c r="C15" s="518" t="s">
        <v>258</v>
      </c>
    </row>
    <row r="16" spans="1:8" x14ac:dyDescent="0.2">
      <c r="C16" s="519" t="s">
        <v>19</v>
      </c>
      <c r="F16" s="519" t="s">
        <v>19</v>
      </c>
    </row>
    <row r="17" spans="2:6" x14ac:dyDescent="0.2">
      <c r="B17" s="517">
        <f>measurement!D8</f>
        <v>0</v>
      </c>
      <c r="C17" s="520">
        <f ca="1">calculations!K44</f>
        <v>9056.7708808230873</v>
      </c>
      <c r="F17" s="520">
        <f ca="1">calculations!C49</f>
        <v>-119.1</v>
      </c>
    </row>
    <row r="20" spans="2:6" x14ac:dyDescent="0.2">
      <c r="C20" s="518" t="s">
        <v>261</v>
      </c>
    </row>
    <row r="21" spans="2:6" x14ac:dyDescent="0.2">
      <c r="C21" s="519" t="s">
        <v>19</v>
      </c>
      <c r="F21" s="519" t="s">
        <v>19</v>
      </c>
    </row>
    <row r="22" spans="2:6" x14ac:dyDescent="0.2">
      <c r="B22" s="517">
        <f>measurement!D8</f>
        <v>0</v>
      </c>
      <c r="C22" s="520">
        <f ca="1">calculations!K45</f>
        <v>56756.563000000002</v>
      </c>
      <c r="F22" s="520">
        <f ca="1">calculations!G49</f>
        <v>-136.9</v>
      </c>
    </row>
    <row r="26" spans="2:6" x14ac:dyDescent="0.2">
      <c r="B26" s="518" t="s">
        <v>264</v>
      </c>
    </row>
    <row r="27" spans="2:6" x14ac:dyDescent="0.2">
      <c r="B27" s="518"/>
    </row>
    <row r="28" spans="2:6" x14ac:dyDescent="0.2">
      <c r="C28" s="519" t="s">
        <v>52</v>
      </c>
      <c r="D28" s="83" t="s">
        <v>39</v>
      </c>
      <c r="E28" s="524" t="s">
        <v>265</v>
      </c>
    </row>
    <row r="29" spans="2:6" x14ac:dyDescent="0.2">
      <c r="B29" s="518" t="s">
        <v>259</v>
      </c>
      <c r="C29" s="525">
        <f ca="1">calculations!B55</f>
        <v>4.0636625514135174</v>
      </c>
      <c r="D29" s="525">
        <f ca="1">calculations!C55</f>
        <v>-16.681681982681912</v>
      </c>
      <c r="E29" s="525">
        <f ca="1">calculations!D55</f>
        <v>66.72685984509566</v>
      </c>
    </row>
    <row r="30" spans="2:6" x14ac:dyDescent="0.2">
      <c r="B30" s="518" t="s">
        <v>266</v>
      </c>
      <c r="C30" s="525">
        <f ca="1">calculations!B56</f>
        <v>2.0438543026823055</v>
      </c>
      <c r="E30" s="525">
        <f ca="1">calculations!D56</f>
        <v>66.381399570644476</v>
      </c>
    </row>
    <row r="32" spans="2:6" x14ac:dyDescent="0.2">
      <c r="B32" s="518" t="s">
        <v>267</v>
      </c>
    </row>
    <row r="33" spans="2:4" x14ac:dyDescent="0.2">
      <c r="B33" s="518" t="s">
        <v>268</v>
      </c>
      <c r="D33" s="526">
        <f ca="1">calculations!K52</f>
        <v>0.99359395637835901</v>
      </c>
    </row>
    <row r="36" spans="2:4" x14ac:dyDescent="0.2">
      <c r="B36" s="518" t="s">
        <v>290</v>
      </c>
      <c r="C36" s="546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Nesladek, Nikolas J</cp:lastModifiedBy>
  <cp:lastPrinted>2013-08-14T21:23:51Z</cp:lastPrinted>
  <dcterms:created xsi:type="dcterms:W3CDTF">2000-11-21T13:18:22Z</dcterms:created>
  <dcterms:modified xsi:type="dcterms:W3CDTF">2014-01-08T23:46:52Z</dcterms:modified>
</cp:coreProperties>
</file>